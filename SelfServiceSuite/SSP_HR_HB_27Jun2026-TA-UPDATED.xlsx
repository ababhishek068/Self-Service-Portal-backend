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Status" sheetId="1" state="visible" r:id="rId1"/>
    <sheet name="Summary" sheetId="2" state="visible" r:id="rId2"/>
    <sheet name="ERP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5" customWidth="1" min="2" max="2"/>
    <col width="24" customWidth="1" min="3" max="3"/>
    <col width="52" customWidth="1" min="4" max="4"/>
    <col width="12" customWidth="1" min="5" max="5"/>
  </cols>
  <sheetData>
    <row r="1">
      <c r="A1" s="1" t="inlineStr">
        <is>
          <t>Sub-Module</t>
        </is>
      </c>
      <c r="B1" s="1" t="inlineStr">
        <is>
          <t>Test Case / Details</t>
        </is>
      </c>
      <c r="C1" s="1" t="inlineStr">
        <is>
          <t>TA Status (27 Jun 2026)</t>
        </is>
      </c>
      <c r="D1" s="1" t="inlineStr">
        <is>
          <t>ERP / BC Action Required</t>
        </is>
      </c>
      <c r="E1" s="1" t="inlineStr">
        <is>
          <t>Owner</t>
        </is>
      </c>
    </row>
    <row r="2">
      <c r="A2" s="2" t="inlineStr">
        <is>
          <t>Registration and Login</t>
        </is>
      </c>
      <c r="B2" s="2" t="inlineStr">
        <is>
          <t>Able to login with staff Number</t>
        </is>
      </c>
      <c r="C2" s="3" t="inlineStr">
        <is>
          <t>Implemented</t>
        </is>
      </c>
      <c r="D2" s="2" t="inlineStr"/>
      <c r="E2" s="2" t="inlineStr">
        <is>
          <t>TA</t>
        </is>
      </c>
    </row>
    <row r="3">
      <c r="A3" s="2" t="inlineStr">
        <is>
          <t>Registration and Login</t>
        </is>
      </c>
      <c r="B3" s="2" t="inlineStr">
        <is>
          <t>Able to Reset forgot password Password</t>
        </is>
      </c>
      <c r="C3" s="3" t="inlineStr">
        <is>
          <t>Implemented</t>
        </is>
      </c>
      <c r="D3" s="2" t="inlineStr"/>
      <c r="E3" s="2" t="inlineStr">
        <is>
          <t>TA</t>
        </is>
      </c>
    </row>
    <row r="4">
      <c r="A4" s="2" t="inlineStr">
        <is>
          <t>Registration and Login</t>
        </is>
      </c>
      <c r="B4" s="2" t="inlineStr">
        <is>
          <t>Able to receive Reset Token on Email</t>
        </is>
      </c>
      <c r="C4" s="4" t="inlineStr">
        <is>
          <t>Partial</t>
        </is>
      </c>
      <c r="D4" s="2" t="inlineStr">
        <is>
          <t>BC must deliver reset email from employee card; portal calls FnResetPassword</t>
        </is>
      </c>
      <c r="E4" s="2" t="inlineStr">
        <is>
          <t>BC</t>
        </is>
      </c>
    </row>
    <row r="5">
      <c r="A5" s="2" t="inlineStr">
        <is>
          <t>Registration and Login</t>
        </is>
      </c>
      <c r="B5" s="2" t="inlineStr">
        <is>
          <t>Able to navigate to Landing Dashboard</t>
        </is>
      </c>
      <c r="C5" s="3" t="inlineStr">
        <is>
          <t>Implemented</t>
        </is>
      </c>
      <c r="D5" s="2" t="inlineStr"/>
      <c r="E5" s="2" t="inlineStr">
        <is>
          <t>TA</t>
        </is>
      </c>
    </row>
    <row r="6">
      <c r="A6" s="2" t="inlineStr">
        <is>
          <t>Registration and Login</t>
        </is>
      </c>
      <c r="B6" s="2" t="inlineStr">
        <is>
          <t>Able to view Employee Profile</t>
        </is>
      </c>
      <c r="C6" s="3" t="inlineStr">
        <is>
          <t>Implemented</t>
        </is>
      </c>
      <c r="D6" s="2" t="inlineStr">
        <is>
          <t>/profile — bio, job, kin, contract, attachments</t>
        </is>
      </c>
      <c r="E6" s="2" t="inlineStr">
        <is>
          <t>TA</t>
        </is>
      </c>
    </row>
    <row r="7">
      <c r="A7" s="2" t="inlineStr">
        <is>
          <t>Registration and Login</t>
        </is>
      </c>
      <c r="B7" s="2" t="inlineStr">
        <is>
          <t>Able to Change Password</t>
        </is>
      </c>
      <c r="C7" s="3" t="inlineStr">
        <is>
          <t>Implemented</t>
        </is>
      </c>
      <c r="D7" s="2" t="inlineStr"/>
      <c r="E7" s="2" t="inlineStr">
        <is>
          <t>TA</t>
        </is>
      </c>
    </row>
    <row r="8">
      <c r="A8" s="2" t="inlineStr">
        <is>
          <t>Registration and Login</t>
        </is>
      </c>
      <c r="B8" s="2" t="inlineStr">
        <is>
          <t>Able to View Dashboard Summary</t>
        </is>
      </c>
      <c r="C8" s="3" t="inlineStr">
        <is>
          <t>Implemented</t>
        </is>
      </c>
      <c r="D8" s="2" t="inlineStr"/>
      <c r="E8" s="2" t="inlineStr">
        <is>
          <t>TA</t>
        </is>
      </c>
    </row>
    <row r="9">
      <c r="A9" s="2" t="inlineStr">
        <is>
          <t>Leave Management</t>
        </is>
      </c>
      <c r="B9" s="2" t="inlineStr">
        <is>
          <t>Able to Request Leave</t>
        </is>
      </c>
      <c r="C9" s="3" t="inlineStr">
        <is>
          <t>Implemented</t>
        </is>
      </c>
      <c r="D9" s="2" t="inlineStr"/>
      <c r="E9" s="2" t="inlineStr">
        <is>
          <t>TA</t>
        </is>
      </c>
    </row>
    <row r="10">
      <c r="A10" s="2" t="inlineStr">
        <is>
          <t>Leave Management</t>
        </is>
      </c>
      <c r="B10" s="2" t="inlineStr">
        <is>
          <t>Able to Select different Leave Type</t>
        </is>
      </c>
      <c r="C10" s="3" t="inlineStr">
        <is>
          <t>Implemented</t>
        </is>
      </c>
      <c r="D10" s="2" t="inlineStr">
        <is>
          <t>Types from QyHRLeaveType OData</t>
        </is>
      </c>
      <c r="E10" s="2" t="inlineStr">
        <is>
          <t>TA+BC</t>
        </is>
      </c>
    </row>
    <row r="11">
      <c r="A11" s="2" t="inlineStr">
        <is>
          <t>Leave Management</t>
        </is>
      </c>
      <c r="B11" s="2" t="inlineStr">
        <is>
          <t>Able to Send Leave application for Approval</t>
        </is>
      </c>
      <c r="C11" s="3" t="inlineStr">
        <is>
          <t>Implemented</t>
        </is>
      </c>
      <c r="D11" s="2" t="inlineStr">
        <is>
          <t>BC leave approval workflow must be enabled</t>
        </is>
      </c>
      <c r="E11" s="2" t="inlineStr">
        <is>
          <t>BC</t>
        </is>
      </c>
    </row>
    <row r="12">
      <c r="A12" s="2" t="inlineStr">
        <is>
          <t>Leave Management</t>
        </is>
      </c>
      <c r="B12" s="2" t="inlineStr">
        <is>
          <t>Able to View Leave approver list and Sequence</t>
        </is>
      </c>
      <c r="C12" s="3" t="inlineStr">
        <is>
          <t>Implemented</t>
        </is>
      </c>
      <c r="D12" s="2" t="inlineStr">
        <is>
          <t>RequestProgress / BC approval entries</t>
        </is>
      </c>
      <c r="E12" s="2" t="inlineStr">
        <is>
          <t>TA+BC</t>
        </is>
      </c>
    </row>
    <row r="13">
      <c r="A13" s="2" t="inlineStr">
        <is>
          <t>Leave Management</t>
        </is>
      </c>
      <c r="B13" s="2" t="inlineStr">
        <is>
          <t>Able to Print Leave Statement</t>
        </is>
      </c>
      <c r="C13" s="3" t="inlineStr">
        <is>
          <t>Implemented</t>
        </is>
      </c>
      <c r="D13" s="2" t="inlineStr">
        <is>
          <t>/hr/leave-statement PDF</t>
        </is>
      </c>
      <c r="E13" s="2" t="inlineStr">
        <is>
          <t>TA</t>
        </is>
      </c>
    </row>
    <row r="14">
      <c r="A14" s="2" t="inlineStr">
        <is>
          <t>Leave Management</t>
        </is>
      </c>
      <c r="B14" s="2" t="inlineStr">
        <is>
          <t>System to check on Gender for Paternity and Maternity leave Type</t>
        </is>
      </c>
      <c r="C14" s="3" t="inlineStr">
        <is>
          <t>Implemented</t>
        </is>
      </c>
      <c r="D14" s="2" t="inlineStr">
        <is>
          <t>Portal filters leave types by employee gender</t>
        </is>
      </c>
      <c r="E14" s="2" t="inlineStr">
        <is>
          <t>TA</t>
        </is>
      </c>
    </row>
    <row r="15">
      <c r="A15" s="2" t="inlineStr">
        <is>
          <t>Leave Management</t>
        </is>
      </c>
      <c r="B15" s="2" t="inlineStr">
        <is>
          <t>Able to check the leave Status</t>
        </is>
      </c>
      <c r="C15" s="3" t="inlineStr">
        <is>
          <t>Implemented</t>
        </is>
      </c>
      <c r="D15" s="2" t="inlineStr"/>
      <c r="E15" s="2" t="inlineStr">
        <is>
          <t>TA</t>
        </is>
      </c>
    </row>
    <row r="16">
      <c r="A16" s="2" t="inlineStr">
        <is>
          <t>Attendance Management</t>
        </is>
      </c>
      <c r="B16" s="2" t="inlineStr">
        <is>
          <t>Able to Sign in and Sign out</t>
        </is>
      </c>
      <c r="C16" s="3" t="inlineStr">
        <is>
          <t>Implemented</t>
        </is>
      </c>
      <c r="D16" s="2" t="inlineStr">
        <is>
          <t>FnCheckinCheckout; HTTP-safe stable device ID (Jun-27)</t>
        </is>
      </c>
      <c r="E16" s="2" t="inlineStr">
        <is>
          <t>TA</t>
        </is>
      </c>
    </row>
    <row r="17">
      <c r="A17" s="2" t="inlineStr">
        <is>
          <t>Attendance Management</t>
        </is>
      </c>
      <c r="B17" s="2" t="inlineStr">
        <is>
          <t>Able to show Time signed in and Out</t>
        </is>
      </c>
      <c r="C17" s="3" t="inlineStr">
        <is>
          <t>Implemented</t>
        </is>
      </c>
      <c r="D17" s="2" t="inlineStr"/>
      <c r="E17" s="2" t="inlineStr">
        <is>
          <t>TA</t>
        </is>
      </c>
    </row>
    <row r="18">
      <c r="A18" s="2" t="inlineStr">
        <is>
          <t>Attendance Management</t>
        </is>
      </c>
      <c r="B18" s="2" t="inlineStr">
        <is>
          <t>Able to show No of Hours worked</t>
        </is>
      </c>
      <c r="C18" s="4" t="inlineStr">
        <is>
          <t>Partial</t>
        </is>
      </c>
      <c r="D18" s="2" t="inlineStr">
        <is>
          <t>Displayed when BC populates HoursWorked on QyAttendanceLedger</t>
        </is>
      </c>
      <c r="E18" s="2" t="inlineStr">
        <is>
          <t>BC</t>
        </is>
      </c>
    </row>
    <row r="19">
      <c r="A19" s="2" t="inlineStr">
        <is>
          <t>Attendance Management</t>
        </is>
      </c>
      <c r="B19" s="2" t="inlineStr">
        <is>
          <t>Able to show location Coordinates</t>
        </is>
      </c>
      <c r="C19" s="3" t="inlineStr">
        <is>
          <t>Implemented</t>
        </is>
      </c>
      <c r="D19" s="2" t="inlineStr">
        <is>
          <t>Portal shows MAC Address (device fingerprint / optional Windows MAC helper)</t>
        </is>
      </c>
      <c r="E19" s="2" t="inlineStr">
        <is>
          <t>TA</t>
        </is>
      </c>
    </row>
    <row r="20">
      <c r="A20" s="2" t="inlineStr">
        <is>
          <t>Attendance Management</t>
        </is>
      </c>
      <c r="B20" s="2" t="inlineStr">
        <is>
          <t>Able to show HOD Staff attendees</t>
        </is>
      </c>
      <c r="C20" s="3" t="inlineStr">
        <is>
          <t>Implemented</t>
        </is>
      </c>
      <c r="D20" s="2" t="inlineStr">
        <is>
          <t>HOD team attendance table; Staff on Leave at /hod/staff-on-leave</t>
        </is>
      </c>
      <c r="E20" s="2" t="inlineStr">
        <is>
          <t>TA</t>
        </is>
      </c>
    </row>
    <row r="21">
      <c r="A21" s="2" t="inlineStr">
        <is>
          <t>Employee Profile</t>
        </is>
      </c>
      <c r="B21" s="2" t="inlineStr">
        <is>
          <t>Able to show employee No and Full Name</t>
        </is>
      </c>
      <c r="C21" s="3" t="inlineStr">
        <is>
          <t>Implemented</t>
        </is>
      </c>
      <c r="D21" s="2" t="inlineStr"/>
      <c r="E21" s="2" t="inlineStr">
        <is>
          <t>TA</t>
        </is>
      </c>
    </row>
    <row r="22">
      <c r="A22" s="2" t="inlineStr">
        <is>
          <t>Employee Profile</t>
        </is>
      </c>
      <c r="B22" s="2" t="inlineStr">
        <is>
          <t>Able to show Employee Job Details</t>
        </is>
      </c>
      <c r="C22" s="3" t="inlineStr">
        <is>
          <t>Implemented</t>
        </is>
      </c>
      <c r="D22" s="2" t="inlineStr"/>
      <c r="E22" s="2" t="inlineStr">
        <is>
          <t>TA</t>
        </is>
      </c>
    </row>
    <row r="23">
      <c r="A23" s="2" t="inlineStr">
        <is>
          <t>Employee Profile</t>
        </is>
      </c>
      <c r="B23" s="2" t="inlineStr">
        <is>
          <t>Able to show Employee Important Dates</t>
        </is>
      </c>
      <c r="C23" s="3" t="inlineStr">
        <is>
          <t>Implemented</t>
        </is>
      </c>
      <c r="D23" s="2" t="inlineStr"/>
      <c r="E23" s="2" t="inlineStr">
        <is>
          <t>TA</t>
        </is>
      </c>
    </row>
    <row r="24">
      <c r="A24" s="2" t="inlineStr">
        <is>
          <t>Employee Profile</t>
        </is>
      </c>
      <c r="B24" s="2" t="inlineStr">
        <is>
          <t>Able to show Employee Next of Kin</t>
        </is>
      </c>
      <c r="C24" s="3" t="inlineStr">
        <is>
          <t>Implemented</t>
        </is>
      </c>
      <c r="D24" s="2" t="inlineStr"/>
      <c r="E24" s="2" t="inlineStr">
        <is>
          <t>TA</t>
        </is>
      </c>
    </row>
    <row r="25">
      <c r="A25" s="2" t="inlineStr">
        <is>
          <t>Employee Profile</t>
        </is>
      </c>
      <c r="B25" s="2" t="inlineStr">
        <is>
          <t>Able to show employee attachments</t>
        </is>
      </c>
      <c r="C25" s="3" t="inlineStr">
        <is>
          <t>Implemented</t>
        </is>
      </c>
      <c r="D25" s="2" t="inlineStr">
        <is>
          <t>/api/profile/attachments</t>
        </is>
      </c>
      <c r="E25" s="2" t="inlineStr">
        <is>
          <t>TA</t>
        </is>
      </c>
    </row>
    <row r="26">
      <c r="A26" s="2" t="inlineStr">
        <is>
          <t>Employee Profile</t>
        </is>
      </c>
      <c r="B26" s="2" t="inlineStr">
        <is>
          <t>Able to show Employee Contract details</t>
        </is>
      </c>
      <c r="C26" s="3" t="inlineStr">
        <is>
          <t>Implemented</t>
        </is>
      </c>
      <c r="D26" s="2" t="inlineStr"/>
      <c r="E26" s="2" t="inlineStr">
        <is>
          <t>TA</t>
        </is>
      </c>
    </row>
    <row r="27">
      <c r="A27" s="2" t="inlineStr">
        <is>
          <t>Employee Profile</t>
        </is>
      </c>
      <c r="B27" s="2" t="inlineStr">
        <is>
          <t>HR Service Request Letters for (Guarntee and other letters for external companys ,Experience letter, letters required for mortgage,Letters Required for emergency staff loan,</t>
        </is>
      </c>
      <c r="C27" s="4" t="inlineStr">
        <is>
          <t>Partial</t>
        </is>
      </c>
      <c r="D27" s="2" t="inlineStr">
        <is>
          <t>Document Requisition UI exists; nav marked Coming Soon; backend SOAP not wired — needs HB BC spec</t>
        </is>
      </c>
      <c r="E27" s="2" t="inlineStr">
        <is>
          <t>TA+BC</t>
        </is>
      </c>
    </row>
    <row r="28">
      <c r="A28" s="2" t="inlineStr">
        <is>
          <t>Employee Profile</t>
        </is>
      </c>
      <c r="B28" s="2" t="inlineStr">
        <is>
          <t>Transfer Request and Cancilation</t>
        </is>
      </c>
      <c r="C28" s="5" t="inlineStr">
        <is>
          <t>Pending</t>
        </is>
      </c>
      <c r="D28" s="2" t="inlineStr">
        <is>
          <t>Coming Soon in portal; needs HB BC transfer workflow + OData/SOAP spec</t>
        </is>
      </c>
      <c r="E28" s="2" t="inlineStr">
        <is>
          <t>TA+BC</t>
        </is>
      </c>
    </row>
    <row r="29">
      <c r="A29" s="2" t="inlineStr">
        <is>
          <t>Employee Profile</t>
        </is>
      </c>
      <c r="B29" s="2" t="inlineStr">
        <is>
          <t>Resignation Application and Cancilation</t>
        </is>
      </c>
      <c r="C29" s="5" t="inlineStr">
        <is>
          <t>Pending</t>
        </is>
      </c>
      <c r="D29" s="2" t="inlineStr">
        <is>
          <t>Coming Soon in portal; needs HB BC resignation workflow + spec</t>
        </is>
      </c>
      <c r="E29" s="2" t="inlineStr">
        <is>
          <t>TA+BC</t>
        </is>
      </c>
    </row>
    <row r="30">
      <c r="A30" s="2" t="inlineStr">
        <is>
          <t>Employee Profile</t>
        </is>
      </c>
      <c r="B30" s="2" t="inlineStr">
        <is>
          <t>Exit Interview Form</t>
        </is>
      </c>
      <c r="C30" s="5" t="inlineStr">
        <is>
          <t>Pending</t>
        </is>
      </c>
      <c r="D30" s="2" t="inlineStr">
        <is>
          <t>Not in portal; ESS has QyExitInterviewForm — needs HB spec</t>
        </is>
      </c>
      <c r="E30" s="2" t="inlineStr">
        <is>
          <t>TA+BC</t>
        </is>
      </c>
    </row>
    <row r="31">
      <c r="A31" s="2" t="inlineStr">
        <is>
          <t>Employee Profile</t>
        </is>
      </c>
      <c r="B31" s="2" t="inlineStr">
        <is>
          <t>Number of leave Applied days are not displayed</t>
        </is>
      </c>
      <c r="C31" s="3" t="inlineStr">
        <is>
          <t>Implemented</t>
        </is>
      </c>
      <c r="D31" s="2" t="inlineStr">
        <is>
          <t>DaysApplied shown on leave list and detail</t>
        </is>
      </c>
      <c r="E31" s="2" t="inlineStr">
        <is>
          <t>TA</t>
        </is>
      </c>
    </row>
    <row r="32">
      <c r="A32" s="2" t="inlineStr">
        <is>
          <t>Employee Profile</t>
        </is>
      </c>
      <c r="B32" s="2" t="inlineStr">
        <is>
          <t>Return Date from leave is set on the default desktops date</t>
        </is>
      </c>
      <c r="C32" s="4" t="inlineStr">
        <is>
          <t>Partial</t>
        </is>
      </c>
      <c r="D32" s="2" t="inlineStr">
        <is>
          <t>Portal uses BC FnGetLeaveDates; verify BC leave calendar if date wrong</t>
        </is>
      </c>
      <c r="E32" s="2" t="inlineStr">
        <is>
          <t>BC</t>
        </is>
      </c>
    </row>
    <row r="33">
      <c r="A33" s="2" t="inlineStr">
        <is>
          <t>Employee Profile</t>
        </is>
      </c>
      <c r="B33" s="2" t="inlineStr">
        <is>
          <t>leave balance is not being diplayed</t>
        </is>
      </c>
      <c r="C33" s="3" t="inlineStr">
        <is>
          <t>Implemented</t>
        </is>
      </c>
      <c r="D33" s="2" t="inlineStr">
        <is>
          <t>Balance shown on leave form via getLeaveBalance API</t>
        </is>
      </c>
      <c r="E33" s="2" t="inlineStr">
        <is>
          <t>TA+BC</t>
        </is>
      </c>
    </row>
    <row r="34">
      <c r="A34" s="2" t="inlineStr">
        <is>
          <t>Employee Profile</t>
        </is>
      </c>
      <c r="B34" s="2" t="inlineStr">
        <is>
          <t>staff on leave is not displayed</t>
        </is>
      </c>
      <c r="C34" s="4" t="inlineStr">
        <is>
          <t>Partial</t>
        </is>
      </c>
      <c r="D34" s="2" t="inlineStr">
        <is>
          <t>HOD Staff on Leave page built; not on employee leave screen</t>
        </is>
      </c>
      <c r="E34" s="2" t="inlineStr">
        <is>
          <t>TA</t>
        </is>
      </c>
    </row>
    <row r="35">
      <c r="A35" s="2" t="inlineStr">
        <is>
          <t>pend</t>
        </is>
      </c>
      <c r="B35" s="2" t="inlineStr">
        <is>
          <t>Medical claim types(Govt,Non Govt,Outline)</t>
        </is>
      </c>
      <c r="C35" s="3" t="inlineStr">
        <is>
          <t>Implemented</t>
        </is>
      </c>
      <c r="D35" s="2" t="inlineStr">
        <is>
          <t>Staff Claims (Finance) — Govt / Private / Online hospital categories</t>
        </is>
      </c>
      <c r="E35" s="2" t="inlineStr">
        <is>
          <t>TA</t>
        </is>
      </c>
    </row>
    <row r="36">
      <c r="A36" s="2" t="inlineStr">
        <is>
          <t>pend</t>
        </is>
      </c>
      <c r="B36" s="2" t="inlineStr">
        <is>
          <t>Able to request Advance salary</t>
        </is>
      </c>
      <c r="C36" s="3" t="inlineStr">
        <is>
          <t>Implemented</t>
        </is>
      </c>
      <c r="D36" s="2" t="inlineStr">
        <is>
          <t>/hr/salary-advance</t>
        </is>
      </c>
      <c r="E36" s="2" t="inlineStr">
        <is>
          <t>TA</t>
        </is>
      </c>
    </row>
    <row r="37">
      <c r="A37" s="2" t="inlineStr">
        <is>
          <t>pend</t>
        </is>
      </c>
      <c r="B37" s="2" t="inlineStr">
        <is>
          <t>Able to view Pay slip</t>
        </is>
      </c>
      <c r="C37" s="3" t="inlineStr">
        <is>
          <t>Implemented</t>
        </is>
      </c>
      <c r="D37" s="2" t="inlineStr">
        <is>
          <t>/hr/payslip PDF via BC</t>
        </is>
      </c>
      <c r="E37" s="2" t="inlineStr">
        <is>
          <t>TA+BC</t>
        </is>
      </c>
    </row>
    <row r="38">
      <c r="A38" s="2" t="inlineStr">
        <is>
          <t>pend</t>
        </is>
      </c>
      <c r="B38" s="2" t="inlineStr">
        <is>
          <t>Special Leave should be included as leave type (from ERP and portal side)</t>
        </is>
      </c>
      <c r="C38" s="4" t="inlineStr">
        <is>
          <t>Partial</t>
        </is>
      </c>
      <c r="D38" s="2" t="inlineStr">
        <is>
          <t>Portal loads all QyHRLeaveType codes; BC must publish Special Leave</t>
        </is>
      </c>
      <c r="E38" s="2" t="inlineStr">
        <is>
          <t>BC</t>
        </is>
      </c>
    </row>
    <row r="39">
      <c r="A39" s="2" t="inlineStr">
        <is>
          <t>Training Management</t>
        </is>
      </c>
      <c r="B39" s="2" t="inlineStr">
        <is>
          <t>Able to create training needs through training needs card</t>
        </is>
      </c>
      <c r="C39" s="4" t="inlineStr">
        <is>
          <t>Partial</t>
        </is>
      </c>
      <c r="D39" s="2" t="inlineStr">
        <is>
          <t>Basic Training Request (course + comments); not full ESS needs card</t>
        </is>
      </c>
      <c r="E39" s="2" t="inlineStr">
        <is>
          <t>TA+BC</t>
        </is>
      </c>
    </row>
    <row r="40">
      <c r="A40" s="2" t="inlineStr">
        <is>
          <t>Training Management</t>
        </is>
      </c>
      <c r="B40" s="2" t="inlineStr">
        <is>
          <t>Training needs card able to capture training period, provider and training cost</t>
        </is>
      </c>
      <c r="C40" s="5" t="inlineStr">
        <is>
          <t>Pending</t>
        </is>
      </c>
      <c r="D40" s="2" t="inlineStr">
        <is>
          <t>Fields not in portal; needs HB BC field/SOAP mapping</t>
        </is>
      </c>
      <c r="E40" s="2" t="inlineStr">
        <is>
          <t>TA+BC</t>
        </is>
      </c>
    </row>
    <row r="41">
      <c r="A41" s="2" t="inlineStr">
        <is>
          <t>Training Management</t>
        </is>
      </c>
      <c r="B41" s="2" t="inlineStr">
        <is>
          <t>Able to create training groups</t>
        </is>
      </c>
      <c r="C41" s="5" t="inlineStr">
        <is>
          <t>Pending</t>
        </is>
      </c>
      <c r="D41" s="2" t="inlineStr">
        <is>
          <t>Not in portal; needs HB spec</t>
        </is>
      </c>
      <c r="E41" s="2" t="inlineStr">
        <is>
          <t>TA+BC</t>
        </is>
      </c>
    </row>
    <row r="42">
      <c r="A42" s="2" t="inlineStr">
        <is>
          <t>Training Management</t>
        </is>
      </c>
      <c r="B42" s="2" t="inlineStr">
        <is>
          <t>Able to show training application list</t>
        </is>
      </c>
      <c r="C42" s="3" t="inlineStr">
        <is>
          <t>Implemented</t>
        </is>
      </c>
      <c r="D42" s="2" t="inlineStr">
        <is>
          <t>QyTrainingApplicationHeader on /hr/training-request</t>
        </is>
      </c>
      <c r="E42" s="2" t="inlineStr">
        <is>
          <t>TA</t>
        </is>
      </c>
    </row>
    <row r="44">
      <c r="A44" t="inlineStr">
        <is>
          <t>TA Status As on 27th June 2026</t>
        </is>
      </c>
      <c r="B44" t="inlineStr">
        <is>
          <t>Cases</t>
        </is>
      </c>
      <c r="C44" t="inlineStr">
        <is>
          <t>Percentage</t>
        </is>
      </c>
      <c r="D44" t="inlineStr"/>
      <c r="E44" t="inlineStr"/>
    </row>
    <row r="45">
      <c r="A45" t="inlineStr">
        <is>
          <t>Total No of Test Cases</t>
        </is>
      </c>
      <c r="B45" t="n">
        <v>41</v>
      </c>
      <c r="C45" t="n">
        <v>1</v>
      </c>
      <c r="D45" t="inlineStr"/>
      <c r="E45" t="inlineStr"/>
    </row>
    <row r="46">
      <c r="A46" t="inlineStr">
        <is>
          <t>Total No of Test Cases Implemented</t>
        </is>
      </c>
      <c r="B46">
        <f>COUNTIF(C2:C42,"Implemented")</f>
        <v/>
      </c>
      <c r="C46">
        <f>B47/B46</f>
        <v/>
      </c>
      <c r="D46" t="inlineStr"/>
      <c r="E46" t="inlineStr"/>
    </row>
    <row r="47">
      <c r="A47" t="inlineStr">
        <is>
          <t>Total No of Test Cases Partial</t>
        </is>
      </c>
      <c r="B47">
        <f>COUNTIF(C2:C42,"Partial")</f>
        <v/>
      </c>
      <c r="C47">
        <f>B48/B46</f>
        <v/>
      </c>
      <c r="D47" t="inlineStr"/>
      <c r="E47" t="inlineStr"/>
    </row>
    <row r="48">
      <c r="A48" t="inlineStr">
        <is>
          <t>Total No of Test Cases Pending</t>
        </is>
      </c>
      <c r="B48">
        <f>COUNTIF(C2:C42,"Pending")</f>
        <v/>
      </c>
      <c r="C48">
        <f>B49/B46</f>
        <v/>
      </c>
      <c r="D48" t="inlineStr"/>
      <c r="E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41</v>
      </c>
    </row>
    <row r="3">
      <c r="A3" s="2" t="inlineStr">
        <is>
          <t>Implemented</t>
        </is>
      </c>
      <c r="B3" s="2" t="n">
        <v>29</v>
      </c>
    </row>
    <row r="4">
      <c r="A4" s="2" t="inlineStr">
        <is>
          <t>Partial (portal built, UAT/BC pending)</t>
        </is>
      </c>
      <c r="B4" s="2" t="n">
        <v>7</v>
      </c>
    </row>
    <row r="5">
      <c r="A5" s="2" t="inlineStr">
        <is>
          <t>Pending (not built)</t>
        </is>
      </c>
      <c r="B5" s="2" t="n">
        <v>5</v>
      </c>
    </row>
    <row r="6">
      <c r="A6" s="2" t="inlineStr">
        <is>
          <t>Portal coverage (Implemented + Partial)</t>
        </is>
      </c>
      <c r="B6" s="2" t="inlineStr">
        <is>
          <t>87.8%</t>
        </is>
      </c>
    </row>
    <row r="7">
      <c r="A7" s="2" t="inlineStr"/>
      <c r="B7" s="2" t="inlineStr"/>
    </row>
    <row r="8">
      <c r="A8" s="2" t="inlineStr">
        <is>
          <t>Latest UAT ZIP</t>
        </is>
      </c>
      <c r="B8" s="2" t="inlineStr">
        <is>
          <t>SelfServiceSuite-UAT-2026-06-27-client-full-offline.zip</t>
        </is>
      </c>
    </row>
    <row r="9">
      <c r="A9" s="2" t="inlineStr">
        <is>
          <t>ERP mapping source</t>
        </is>
      </c>
      <c r="B9" s="2" t="inlineStr">
        <is>
          <t>src/staffModules.ts, src/portalApi.ts, src/erpMappings.ts</t>
        </is>
      </c>
    </row>
    <row r="10">
      <c r="A10" s="2" t="inlineStr"/>
      <c r="B10" s="2" t="inlineStr"/>
    </row>
    <row r="11">
      <c r="A11" s="2" t="inlineStr">
        <is>
          <t>Jun-27 portal fixes relevant to HR HB</t>
        </is>
      </c>
      <c r="B11" s="2" t="inlineStr"/>
    </row>
    <row r="12">
      <c r="A12" s="2" t="inlineStr">
        <is>
          <t>Attendance</t>
        </is>
      </c>
      <c r="B12" s="2" t="inlineStr">
        <is>
          <t>Coordinates requirement replaced with MAC Address; stable sign-in on HTTP</t>
        </is>
      </c>
    </row>
    <row r="13">
      <c r="A13" s="2" t="inlineStr">
        <is>
          <t>Leave</t>
        </is>
      </c>
      <c r="B13" s="2" t="inlineStr">
        <is>
          <t>DaysApplied, balance, gender filter, return dates via BC APIs</t>
        </is>
      </c>
    </row>
    <row r="14">
      <c r="A14" s="2" t="inlineStr">
        <is>
          <t>Auth</t>
        </is>
      </c>
      <c r="B14" s="2" t="inlineStr">
        <is>
          <t>Forgot/reset password with BC active-user check</t>
        </is>
      </c>
    </row>
    <row r="15">
      <c r="A15" s="2" t="inlineStr">
        <is>
          <t>HOD</t>
        </is>
      </c>
      <c r="B15" s="2" t="inlineStr">
        <is>
          <t>Staff on Leave, team attendance, department staff list</t>
        </is>
      </c>
    </row>
    <row r="16">
      <c r="A16" s="2" t="inlineStr"/>
      <c r="B16" s="2" t="inlineStr"/>
    </row>
    <row r="17">
      <c r="A17" s="2" t="inlineStr">
        <is>
          <t>BC / HB still required</t>
        </is>
      </c>
      <c r="B17" s="2" t="inlineStr"/>
    </row>
    <row r="18">
      <c r="A18" s="2" t="inlineStr">
        <is>
          <t>Transfer / Resignation / Exit Interview</t>
        </is>
      </c>
      <c r="B18" s="2" t="inlineStr">
        <is>
          <t>Workflow + OData/SOAP specs from HB</t>
        </is>
      </c>
    </row>
    <row r="19">
      <c r="A19" s="2" t="inlineStr">
        <is>
          <t>Document Requisition letters</t>
        </is>
      </c>
      <c r="B19" s="2" t="inlineStr">
        <is>
          <t>Backend module + approval workflow</t>
        </is>
      </c>
    </row>
    <row r="20">
      <c r="A20" s="2" t="inlineStr">
        <is>
          <t>Training needs card / groups</t>
        </is>
      </c>
      <c r="B20" s="2" t="inlineStr">
        <is>
          <t>Field mapping and BC pages</t>
        </is>
      </c>
    </row>
    <row r="21">
      <c r="A21" s="2" t="inlineStr">
        <is>
          <t>Special Leave</t>
        </is>
      </c>
      <c r="B21" s="2" t="inlineStr">
        <is>
          <t>Publish leave type in QyHRLeaveType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36" customWidth="1" min="3" max="3"/>
    <col width="42" customWidth="1" min="4" max="4"/>
    <col width="28" customWidth="1" min="5" max="5"/>
  </cols>
  <sheetData>
    <row r="1">
      <c r="A1" s="1" t="inlineStr">
        <is>
          <t>Portal Module</t>
        </is>
      </c>
      <c r="B1" s="1" t="inlineStr">
        <is>
          <t>OData / API</t>
        </is>
      </c>
      <c r="C1" s="1" t="inlineStr">
        <is>
          <t>SOAP / Action</t>
        </is>
      </c>
      <c r="D1" s="1" t="inlineStr">
        <is>
          <t>BC Table / Notes</t>
        </is>
      </c>
      <c r="E1" s="1" t="inlineStr">
        <is>
          <t>Portal Route</t>
        </is>
      </c>
    </row>
    <row r="2">
      <c r="A2" s="2" t="inlineStr">
        <is>
          <t>Login / Auth</t>
        </is>
      </c>
      <c r="B2" s="2" t="inlineStr">
        <is>
          <t>QyPortalUser, QyHREmployee</t>
        </is>
      </c>
      <c r="C2" s="2" t="inlineStr">
        <is>
          <t>FnAuthenticateUser, FnResetPassword</t>
        </is>
      </c>
      <c r="D2" s="2" t="inlineStr">
        <is>
          <t>—</t>
        </is>
      </c>
      <c r="E2" s="2" t="inlineStr">
        <is>
          <t>/login, /forgot-password</t>
        </is>
      </c>
    </row>
    <row r="3">
      <c r="A3" s="2" t="inlineStr">
        <is>
          <t>Leave Requisition</t>
        </is>
      </c>
      <c r="B3" s="2" t="inlineStr">
        <is>
          <t>QyHRLeaveApplications</t>
        </is>
      </c>
      <c r="C3" s="2" t="inlineStr">
        <is>
          <t>FnSaveLeaveApplication, RequestLeaveApproval, CancelLeave</t>
        </is>
      </c>
      <c r="D3" s="2" t="inlineStr">
        <is>
          <t>Leave ledger</t>
        </is>
      </c>
      <c r="E3" s="2" t="inlineStr">
        <is>
          <t>/hr/leave-request</t>
        </is>
      </c>
    </row>
    <row r="4">
      <c r="A4" s="2" t="inlineStr">
        <is>
          <t>Leave balance / dates</t>
        </is>
      </c>
      <c r="B4" s="2" t="inlineStr">
        <is>
          <t>QyHRLeaveLedger, QyHRLeaveType</t>
        </is>
      </c>
      <c r="C4" s="2" t="inlineStr">
        <is>
          <t>FnGetLeaveBalance, FnGetLeaveDates</t>
        </is>
      </c>
      <c r="D4" s="2" t="inlineStr">
        <is>
          <t>—</t>
        </is>
      </c>
      <c r="E4" s="2" t="inlineStr">
        <is>
          <t>Leave form APIs</t>
        </is>
      </c>
    </row>
    <row r="5">
      <c r="A5" s="2" t="inlineStr">
        <is>
          <t>Leave Statement</t>
        </is>
      </c>
      <c r="B5" s="2" t="inlineStr">
        <is>
          <t>QyHRLeaveApplications</t>
        </is>
      </c>
      <c r="C5" s="2" t="inlineStr">
        <is>
          <t>GenerateLeaveStatement (PDF)</t>
        </is>
      </c>
      <c r="D5" s="2" t="inlineStr">
        <is>
          <t>—</t>
        </is>
      </c>
      <c r="E5" s="2" t="inlineStr">
        <is>
          <t>/hr/leave-statement</t>
        </is>
      </c>
    </row>
    <row r="6">
      <c r="A6" s="2" t="inlineStr">
        <is>
          <t>Attendance</t>
        </is>
      </c>
      <c r="B6" s="2" t="inlineStr">
        <is>
          <t>QyAttendanceLedger</t>
        </is>
      </c>
      <c r="C6" s="2" t="inlineStr">
        <is>
          <t>FnCheckinCheckout</t>
        </is>
      </c>
      <c r="D6" s="2" t="inlineStr">
        <is>
          <t>MAC sent in Location field</t>
        </is>
      </c>
      <c r="E6" s="2" t="inlineStr">
        <is>
          <t>/hr/attendance</t>
        </is>
      </c>
    </row>
    <row r="7">
      <c r="A7" s="2" t="inlineStr">
        <is>
          <t>Employee Profile</t>
        </is>
      </c>
      <c r="B7" s="2" t="inlineStr">
        <is>
          <t>QyHREmployee, QyEmployeeKin, etc.</t>
        </is>
      </c>
      <c r="C7" s="2" t="inlineStr">
        <is>
          <t>—</t>
        </is>
      </c>
      <c r="D7" s="2" t="inlineStr">
        <is>
          <t>Profile OData</t>
        </is>
      </c>
      <c r="E7" s="2" t="inlineStr">
        <is>
          <t>/profile</t>
        </is>
      </c>
    </row>
    <row r="8">
      <c r="A8" s="2" t="inlineStr">
        <is>
          <t>Salary Advance</t>
        </is>
      </c>
      <c r="B8" s="2" t="inlineStr">
        <is>
          <t>QyStaffAdvanceHeader</t>
        </is>
      </c>
      <c r="C8" s="2" t="inlineStr">
        <is>
          <t>FnStaffAdvanceHeader, approval SOAP</t>
        </is>
      </c>
      <c r="D8" s="2" t="inlineStr">
        <is>
          <t>—</t>
        </is>
      </c>
      <c r="E8" s="2" t="inlineStr">
        <is>
          <t>/hr/salary-advance</t>
        </is>
      </c>
    </row>
    <row r="9">
      <c r="A9" s="2" t="inlineStr">
        <is>
          <t>Payslip</t>
        </is>
      </c>
      <c r="B9" s="2" t="inlineStr">
        <is>
          <t>QyPayrollPeriod</t>
        </is>
      </c>
      <c r="C9" s="2" t="inlineStr">
        <is>
          <t>GeneratePayslip PDF SOAP</t>
        </is>
      </c>
      <c r="D9" s="2" t="inlineStr">
        <is>
          <t>—</t>
        </is>
      </c>
      <c r="E9" s="2" t="inlineStr">
        <is>
          <t>/hr/payslip</t>
        </is>
      </c>
    </row>
    <row r="10">
      <c r="A10" s="2" t="inlineStr">
        <is>
          <t>Staff Claims (Medical)</t>
        </is>
      </c>
      <c r="B10" s="2" t="inlineStr">
        <is>
          <t>QyStaffClaimHeader/Lines</t>
        </is>
      </c>
      <c r="C10" s="2" t="inlineStr">
        <is>
          <t>Staff claim SOAP</t>
        </is>
      </c>
      <c r="D10" s="2" t="inlineStr">
        <is>
          <t>Hospital category Govt/Private/Online</t>
        </is>
      </c>
      <c r="E10" s="2" t="inlineStr">
        <is>
          <t>/finance/staff-claim</t>
        </is>
      </c>
    </row>
    <row r="11">
      <c r="A11" s="2" t="inlineStr">
        <is>
          <t>Training Request</t>
        </is>
      </c>
      <c r="B11" s="2" t="inlineStr">
        <is>
          <t>QyTrainingApplicationHeader</t>
        </is>
      </c>
      <c r="C11" s="2" t="inlineStr">
        <is>
          <t>FnTrainingRequest, TrainingApproval</t>
        </is>
      </c>
      <c r="D11" s="2" t="inlineStr">
        <is>
          <t>—</t>
        </is>
      </c>
      <c r="E11" s="2" t="inlineStr">
        <is>
          <t>/hr/training-request</t>
        </is>
      </c>
    </row>
    <row r="12">
      <c r="A12" s="2" t="inlineStr">
        <is>
          <t>Document Requisition</t>
        </is>
      </c>
      <c r="B12" s="2" t="inlineStr">
        <is>
          <t>—</t>
        </is>
      </c>
      <c r="C12" s="2" t="inlineStr">
        <is>
          <t>Not wired</t>
        </is>
      </c>
      <c r="D12" s="2" t="inlineStr">
        <is>
          <t>Awaiting HB spec</t>
        </is>
      </c>
      <c r="E12" s="2" t="inlineStr">
        <is>
          <t>/hr/document-requisition (Coming Soon)</t>
        </is>
      </c>
    </row>
    <row r="13">
      <c r="A13" s="2" t="inlineStr">
        <is>
          <t>Employee Transfer</t>
        </is>
      </c>
      <c r="B13" s="2" t="inlineStr">
        <is>
          <t>—</t>
        </is>
      </c>
      <c r="C13" s="2" t="inlineStr">
        <is>
          <t>Not wired</t>
        </is>
      </c>
      <c r="D13" s="2" t="inlineStr">
        <is>
          <t>Awaiting HB spec</t>
        </is>
      </c>
      <c r="E13" s="2" t="inlineStr">
        <is>
          <t>/hr/employee-transfer (Coming Soon)</t>
        </is>
      </c>
    </row>
    <row r="14">
      <c r="A14" s="2" t="inlineStr">
        <is>
          <t>Employee Resignation</t>
        </is>
      </c>
      <c r="B14" s="2" t="inlineStr">
        <is>
          <t>—</t>
        </is>
      </c>
      <c r="C14" s="2" t="inlineStr">
        <is>
          <t>Not wired</t>
        </is>
      </c>
      <c r="D14" s="2" t="inlineStr">
        <is>
          <t>Awaiting HB spec</t>
        </is>
      </c>
      <c r="E14" s="2" t="inlineStr">
        <is>
          <t>/hr/employee-resignation (Coming Soon)</t>
        </is>
      </c>
    </row>
    <row r="15">
      <c r="A15" s="2" t="inlineStr">
        <is>
          <t>Exit Interview</t>
        </is>
      </c>
      <c r="B15" s="2" t="inlineStr">
        <is>
          <t>QyExitInterviewForm (ESS only)</t>
        </is>
      </c>
      <c r="C15" s="2" t="inlineStr">
        <is>
          <t>Not in portal</t>
        </is>
      </c>
      <c r="D15" s="2" t="inlineStr">
        <is>
          <t>Awaiting HB spec</t>
        </is>
      </c>
      <c r="E15" s="2" t="inlineStr">
        <is>
          <t>—</t>
        </is>
      </c>
    </row>
    <row r="16">
      <c r="A16" s="2" t="inlineStr">
        <is>
          <t>HOD Staff on Leave</t>
        </is>
      </c>
      <c r="B16" s="2" t="inlineStr">
        <is>
          <t>QyHRLeaveApplications</t>
        </is>
      </c>
      <c r="C16" s="2" t="inlineStr">
        <is>
          <t>Filter posted leave</t>
        </is>
      </c>
      <c r="D16" s="2" t="inlineStr">
        <is>
          <t>—</t>
        </is>
      </c>
      <c r="E16" s="2" t="inlineStr">
        <is>
          <t>/hod/staff-on-leave</t>
        </is>
      </c>
    </row>
    <row r="17">
      <c r="A17" s="2" t="inlineStr">
        <is>
          <t>HOD Team Attendance</t>
        </is>
      </c>
      <c r="B17" s="2" t="inlineStr">
        <is>
          <t>QyAttendanceLedger</t>
        </is>
      </c>
      <c r="C17" s="2" t="inlineStr">
        <is>
          <t>—</t>
        </is>
      </c>
      <c r="D17" s="2" t="inlineStr">
        <is>
          <t>Today filter</t>
        </is>
      </c>
      <c r="E17" s="2" t="inlineStr">
        <is>
          <t>/hr/attendance (HOD view)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2026-06-26T20:56:30Z</dcterms:created>
  <dcterms:modified xsi:type="dcterms:W3CDTF">2026-06-26T20:56:30Z</dcterms:modified>
</cp:coreProperties>
</file>