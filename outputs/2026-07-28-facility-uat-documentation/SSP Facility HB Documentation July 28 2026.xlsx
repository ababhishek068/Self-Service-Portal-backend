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f7c64dc42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a6594403cf4bd2"/>
  </x:sheets>
</x:workbook>
</file>

<file path=xl/comments1.xml><?xml version="1.0" encoding="utf-8"?>
<x:comments xmlns:x="http://schemas.openxmlformats.org/spreadsheetml/2006/main">
  <x:authors>
    <x:author>Tesfaye Tolcha Gemeda</x:author>
    <x:author>Mehuba Gragn Oumer</x:author>
  </x:authors>
  <x:commentList>
    <x:comment ref="E4" authorId="0">
      <x:text>
        <x:r>
          <x:t>Tesfaye Tolcha Gemeda:
we can add the specification but generate as discription &amp; no attached specification documents</x:t>
        </x:r>
      </x:text>
    </x:comment>
    <x:comment ref="E7" authorId="0">
      <x:text>
        <x:r>
          <x:t>Tesfaye Tolcha Gemeda:
approver cant see the </x:t>
        </x:r>
      </x:text>
    </x:comment>
    <x:comment ref="E8" authorId="0">
      <x:text>
        <x:r>
          <x:t>Tesfaye Tolcha Gemeda:
approver cant see the PR it will come as Purchase quote and all details changed to Purcahse quote</x:t>
        </x:r>
      </x:text>
    </x:comment>
    <x:comment ref="E9" authorId="0">
      <x:text>
        <x:r>
          <x:t>Tesfaye Tolcha Gemeda:
approver cant see the PR it will come as Purchase quote and all details changed to Purcahse quote</x:t>
        </x:r>
      </x:text>
    </x:comment>
    <x:comment ref="E10" authorId="1">
      <x:text>
        <x:r>
          <x:t>Mehuba Gragn Oumer:
</x:t>
        </x:r>
      </x:text>
    </x:comment>
    <x:comment ref="E20" authorId="0">
      <x:text>
        <x:r>
          <x:t>Tesfaye Tolcha Gemeda:
need to integrate Vehicle Plante no with specific card no </x:t>
        </x:r>
      </x:text>
    </x:comment>
    <x:comment ref="E21" authorId="0">
      <x:text>
        <x:r>
          <x:t>Tesfaye Tolcha Gemeda:
</x:t>
        </x:r>
      </x:text>
    </x:comment>
    <x:comment ref="E27" authorId="0">
      <x:text>
        <x:r>
          <x:t>Tesfaye Tolcha Gemeda:
need to have trip straring(from), Name of Employee</x:t>
        </x:r>
      </x:text>
    </x:comment>
    <x:comment ref="E28" authorId="0">
      <x:text>
        <x:r>
          <x:t>Tesfaye Tolcha Gemeda:
need to have trip straring(from), Name of Employee, only recognize city trip</x:t>
        </x:r>
      </x:text>
    </x:comment>
    <x:comment ref="E30" authorId="0">
      <x:text>
        <x:r>
          <x:t>Tesfaye Tolcha Gemeda:
approver cant see request for field trip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<x:sst xmlns:x="http://schemas.openxmlformats.org/spreadsheetml/2006/main">
  <x:si>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Purchases</x:t>
  </x:si>
  <x:si>
    <x:t xml:space="preserve">Able to create new Purchase requisition</x:t>
  </x:si>
  <x:si>
    <x:t xml:space="preserve">Implemented</x:t>
  </x:si>
  <x:si>
    <x:t xml:space="preserve">Mandatory</x:t>
  </x:si>
  <x:si>
    <x:t xml:space="preserve">pass</x:t>
  </x:si>
  <x:si>
    <x:t xml:space="preserve">Abel to add specificiton of item FA/Service</x:t>
  </x:si>
  <x:si>
    <x:t xml:space="preserve">fail</x:t>
  </x:si>
  <x:si>
    <x:t xml:space="preserve">we can add the specification but generate as discription &amp; no attached specification documents</x:t>
  </x:si>
  <x:si>
    <x:t xml:space="preserve">Able to add multiple line</x:t>
  </x:si>
  <x:si>
    <x:t xml:space="preserve">Able to send request for Approval</x:t>
  </x:si>
  <x:si>
    <x:t xml:space="preserve">Able cancel purchase approval request</x:t>
  </x:si>
  <x:si>
    <x:t xml:space="preserve">the PR at approver side cahanged to Purchase Qote </x:t>
  </x:si>
  <x:si>
    <x:t xml:space="preserve">Abel to see pending purchase reuqest</x:t>
  </x:si>
  <x:si>
    <x:t xml:space="preserve">Abel to approve pending request</x:t>
  </x:si>
  <x:si>
    <x:t xml:space="preserve">Abel to Generate purchase requisitons report</x:t>
  </x:si>
  <x:si>
    <x:t xml:space="preserve">Not in SSP, It should generate from ERP</x:t>
  </x:si>
  <x:si>
    <x:t xml:space="preserve">requisitor cant see the detail of the requested item at SSP </x:t>
  </x:si>
  <x:si>
    <x:t xml:space="preserve">Stores</x:t>
  </x:si>
  <x:si>
    <x:t xml:space="preserve">Able to create new store request</x:t>
  </x:si>
  <x:si>
    <x:t xml:space="preserve">Able to check item availability</x:t>
  </x:si>
  <x:si>
    <x:t xml:space="preserve">Able to show issued stock</x:t>
  </x:si>
  <x:si>
    <x:t xml:space="preserve">Able to add more Store requisition line</x:t>
  </x:si>
  <x:si>
    <x:t xml:space="preserve">Abel to get receiptient confirmation of received from requisitor</x:t>
  </x:si>
  <x:si>
    <x:t xml:space="preserve">not generate confirmation/request for confirmation for the requested item </x:t>
  </x:si>
  <x:si>
    <x:t xml:space="preserve">Able to send store requisition for approval</x:t>
  </x:si>
  <x:si>
    <x:t xml:space="preserve">Abel to see pending store requisiton for apprval</x:t>
  </x:si>
  <x:si>
    <x:t xml:space="preserve">Abel to Generate store requisitons report</x:t>
  </x:si>
  <x:si>
    <x:t xml:space="preserve">what about the requisitor the requisitor needs to see the detail request against issue </x:t>
  </x:si>
  <x:si>
    <x:t xml:space="preserve">Abel to approve/cancel store requesition</x:t>
  </x:si>
  <x:si>
    <x:t xml:space="preserve">Fuel</x:t>
  </x:si>
  <x:si>
    <x:t xml:space="preserve">Able to create new Fuel request</x:t>
  </x:si>
  <x:si>
    <x:t xml:space="preserve">Can be pend</x:t>
  </x:si>
  <x:si>
    <x:t xml:space="preserve">Able to check fuel availability</x:t>
  </x:si>
  <x:si>
    <x:t xml:space="preserve">Clarification with Bank</x:t>
  </x:si>
  <x:si>
    <x:t xml:space="preserve">Need to check fuel request standard against the request fuel /km for each vehicle fuel request </x:t>
  </x:si>
  <x:si>
    <x:t xml:space="preserve">Able to show issued Fuel(approved fuel requests)</x:t>
  </x:si>
  <x:si>
    <x:t xml:space="preserve">it does not show the requested detail &amp; with approver side it shows as FLT maintenance request </x:t>
  </x:si>
  <x:si>
    <x:t xml:space="preserve">Able to send Fuel requisition for approval</x:t>
  </x:si>
  <x:si>
    <x:t xml:space="preserve">Abel to see pending fuel request</x:t>
  </x:si>
  <x:si>
    <x:t xml:space="preserve">fail </x:t>
  </x:si>
  <x:si>
    <x:t xml:space="preserve">can creat still not show the requested line </x:t>
  </x:si>
  <x:si>
    <x:t xml:space="preserve">Transport</x:t>
  </x:si>
  <x:si>
    <x:t xml:space="preserve">Able to send request City Transport request</x:t>
  </x:si>
  <x:si>
    <x:t xml:space="preserve">Able to request FieldTransport request</x:t>
  </x:si>
  <x:si>
    <x:t xml:space="preserve">its outomatically changed to as city request when sent to approval </x:t>
  </x:si>
  <x:si>
    <x:t xml:space="preserve">Abel to add Line for External and internals passangers list</x:t>
  </x:si>
  <x:si>
    <x:t xml:space="preserve">Able Line Manager approves city /Field request</x:t>
  </x:si>
  <x:si>
    <x:t xml:space="preserve">Able Reject City/field Transport Request</x:t>
  </x:si>
  <x:si>
    <x:t xml:space="preserve">Abel Cancel City/field Transport Request</x:t>
  </x:si>
  <x:si>
    <x:t xml:space="preserve">It can be rejected we have tested with reject </x:t>
  </x:si>
  <x:si>
    <x:t xml:space="preserve">Able to receive request for reschedule proposed due to Vehicle unavailability</x:t>
  </x:si>
  <x:si>
    <x:t xml:space="preserve">Prevent duplicate Vehicle Request</x:t>
  </x:si>
  <x:si>
    <x:t xml:space="preserve">ERP Pending</x:t>
  </x:si>
  <x:si>
    <x:t xml:space="preserve">not prevent duplicate vehile request </x:t>
  </x:si>
  <x:si>
    <x:t xml:space="preserve">Maintenance</x:t>
  </x:si>
  <x:si>
    <x:t xml:space="preserve">Create Fixed Asset maintenance request by user organ</x:t>
  </x:si>
  <x:si>
    <x:t xml:space="preserve">Out Of Scope</x:t>
  </x:si>
  <x:si>
    <x:t xml:space="preserve">the template not there  at SSP </x:t>
  </x:si>
  <x:si>
    <x:t xml:space="preserve">Send maintenance for approval</x:t>
  </x:si>
  <x:si>
    <x:t xml:space="preserve">reject mainenance rquest</x:t>
  </x:si>
  <x:si>
    <x:t xml:space="preserve">Technical Manager assigns internal technician</x:t>
  </x:si>
  <x:si>
    <x:t xml:space="preserve">Requestor confirm receipt of maintained FA</x:t>
  </x:si>
  <x:si>
    <x:t xml:space="preserve">Create request for vehicle service maintenance at ≥5,000 km and submit</x:t>
  </x:si>
  <x:si>
    <x:t xml:space="preserve">Abel to show next maintenance KM.</x:t>
  </x:si>
  <x:si>
    <x:t xml:space="preserve">Abel to reject maintenance request</x:t>
  </x:si>
  <x:si>
    <x:t xml:space="preserve">Abel to aprove requested maintenance</x:t>
  </x:si>
  <x:si>
    <x:t xml:space="preserve">Work Ticket</x:t>
  </x:si>
  <x:si>
    <x:t xml:space="preserve">Creat A requistion for booking</x:t>
  </x:si>
  <x:si>
    <x:t xml:space="preserve">not have required field  to fill the flight booking </x:t>
  </x:si>
  <x:si>
    <x:t xml:space="preserve">Request sent for approval</x:t>
  </x:si>
  <x:si>
    <x:t xml:space="preserve">Request approved/ rejected</x:t>
  </x:si>
  <x:si>
    <x:t xml:space="preserve">Booking confirmaiton receipt</x:t>
  </x:si>
  <x:si>
    <x:t xml:space="preserve">Transfer order</x:t>
  </x:si>
  <x:si>
    <x:t xml:space="preserve">Able to create Handover of vehicle and tools</x:t>
  </x:si>
  <x:si>
    <x:t xml:space="preserve">the test case is for Asset Transfer/Vehicle or tools the SSP is Transfer order which is different </x:t>
  </x:si>
  <x:si>
    <x:t xml:space="preserve">Able to approve handover of vehicle</x:t>
  </x:si>
  <x:si>
    <x:t xml:space="preserve">Able to do temporary asset transfer to employee</x:t>
  </x:si>
  <x:si>
    <x:t xml:space="preserve">Able to approve temporary asset transfer list</x:t>
  </x:si>
  <x:si>
    <x:t xml:space="preserve">Able to Cancel temporary asset transfer list</x:t>
  </x:si>
  <x:si>
    <x:t xml:space="preserve">Able to post asset transfer</x:t>
  </x:si>
  <x:si>
    <x:t xml:space="preserve">Gate Pass</x:t>
  </x:si>
  <x:si>
    <x:t xml:space="preserve">Able to request Goods, maintained goods, with Gate Pass</x:t>
  </x:si>
  <x:si>
    <x:t xml:space="preserve">The gate pass not generate the transferd /Store issued/maintained with specific refernce need to integrate   </x:t>
  </x:si>
  <x:si>
    <x:t xml:space="preserve">Able to approve gate pass</x:t>
  </x:si>
  <x:si>
    <x:t xml:space="preserve">Able to reject gate pass</x:t>
  </x:si>
  <x:si>
    <x:t xml:space="preserve">Able Generate Gate Pass Log Report</x:t>
  </x:si>
  <x:si>
    <x:t xml:space="preserve">Procurment Individual Budget Prepartion</x:t>
  </x:si>
  <x:si>
    <x:t xml:space="preserve">Able Department or district enters to budget template</x:t>
  </x:si>
  <x:si>
    <x:t xml:space="preserve">Able to itemized procurement budget plan</x:t>
  </x:si>
  <x:si>
    <x:t xml:space="preserve">Able to submits itemized procurement budget plan</x:t>
  </x:si>
  <x:si>
    <x:t xml:space="preserve">TA Status As on 12th July 2026</x:t>
  </x:si>
  <x:si>
    <x:t xml:space="preserve">Cases</x:t>
  </x:si>
  <x:si>
    <x:t xml:space="preserve">Percentage</x:t>
  </x:si>
  <x:si>
    <x:t xml:space="preserve">Total No of Test Cases</x:t>
  </x:si>
  <x:si>
    <x:t xml:space="preserve">Total No of Test Cases Implemented</x:t>
  </x:si>
  <x:si>
    <x:t xml:space="preserve">Total No of Test Cases Pending</x:t>
  </x:si>
  <x:si>
    <x:t xml:space="preserve">Status tested by HB as of July 14, 2026 </x:t>
  </x:si>
  <x:si>
    <x:t xml:space="preserve">Total No of Test Cases pass</x:t>
  </x:si>
  <x:si>
    <x:t xml:space="preserve">Total No of Test Cases fail</x:t>
  </x:si>
</x:sst>
</file>

<file path=xl/styles.xml><?xml version="1.0" encoding="utf-8"?>
<x:styleSheet xmlns:x="http://schemas.openxmlformats.org/spreadsheetml/2006/main">
  <x:numFmts count="1">
    <x:numFmt numFmtId="200" formatCode="0.0%"/>
  </x:numFmts>
  <x:fonts count="19">
    <x:font>
      <x:sz val="10"/>
      <x:color rgb="FF000000"/>
      <x:name val="Arial"/>
    </x:font>
    <x:font>
      <x:sz val="11"/>
      <x:color theme="1"/>
      <x:name val="Arial"/>
    </x:font>
    <x:font>
      <x:b/>
      <x:sz val="11"/>
      <x:color rgb="FF000000"/>
      <x:name val="Calibri"/>
    </x:font>
    <x:font>
      <x:sz val="10"/>
      <x:name val="Arial"/>
    </x:font>
    <x:font>
      <x:b/>
      <x:sz val="10"/>
      <x:color rgb="FF000000"/>
      <x:name val="Calibri"/>
    </x:font>
    <x:font>
      <x:sz val="10"/>
      <x:color rgb="FF000000"/>
      <x:name val="Calibri"/>
    </x:font>
    <x:font>
      <x:sz val="11"/>
      <x:color rgb="FF000000"/>
      <x:name val="Calibri"/>
    </x:font>
    <x:font>
      <x:sz val="11"/>
      <x:color rgb="FF9C0006"/>
      <x:name val="Calibri"/>
    </x:font>
    <x:font>
      <x:sz val="10"/>
      <x:color theme="1"/>
      <x:name val="Arial"/>
    </x:font>
    <x:font>
      <x:sz val="11"/>
      <x:color rgb="FFFF0000"/>
      <x:name val="Arial"/>
    </x:font>
    <x:font>
      <x:b/>
      <x:sz val="9"/>
      <x:color indexed="81"/>
      <x:name val="Tahoma"/>
    </x:font>
    <x:font>
      <x:sz val="9"/>
      <x:color indexed="81"/>
      <x:name val="Tahoma"/>
    </x:font>
    <x:font>
      <x:sz val="10"/>
      <x:color rgb="FF000000"/>
      <x:name val="Arial"/>
    </x:font>
    <x:font>
      <x:b/>
      <x:sz val="11"/>
      <x:color rgb="FFFFFFFF"/>
      <x:name val="Calibri"/>
    </x:font>
    <x:font>
      <x:b/>
      <x:sz val="10"/>
      <x:color rgb="FFFFFFFF"/>
      <x:name val="Arial"/>
    </x:font>
    <x:font>
      <x:b/>
      <x:sz val="10"/>
      <x:color rgb="FFFFFFFF"/>
      <x:name val="Calibri"/>
    </x:font>
    <x:font>
      <x:sz val="11"/>
      <x:color rgb="FF000000"/>
      <x:name val="Arial"/>
    </x:font>
    <x:font>
      <x:b/>
      <x:sz val="10"/>
      <x:color rgb="FF000000"/>
      <x:name val="Arial"/>
    </x:font>
    <x:font>
      <x:i/>
      <x:sz val="10"/>
      <x:color rgb="FF7F6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C7CE"/>
      </x:patternFill>
    </x:fill>
    <x:fill>
      <x:patternFill patternType="solid">
        <x:fgColor rgb="FF92D050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</x:fills>
  <x:borders count="38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</x:border>
    <x:border>
      <x:left style="thin">
        <x:color rgb="FF000000"/>
      </x:left>
      <x:right style="medium">
        <x:color auto="1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 style="medium">
        <x:color rgb="FF000000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</x:border>
    <x:border>
      <x:left style="thin">
        <x:color rgb="FF000000"/>
      </x:left>
      <x:right style="medium">
        <x:color auto="1"/>
      </x:right>
      <x:top style="thin">
        <x:color rgb="FF000000"/>
      </x:top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auto="1"/>
      </x:right>
    </x:border>
    <x:border>
      <x:left style="thin">
        <x:color rgb="FF000000"/>
      </x:left>
      <x:bottom style="thin">
        <x:color rgb="FF000000"/>
      </x:bottom>
    </x:border>
    <x:border>
      <x:left style="medium">
        <x:color rgb="FF1F1F1F"/>
      </x:left>
      <x:top style="medium">
        <x:color rgb="FF1F1F1F"/>
      </x:top>
      <x:bottom style="medium">
        <x:color rgb="FF1F1F1F"/>
      </x:bottom>
    </x:border>
    <x:border>
      <x:top style="medium">
        <x:color rgb="FF1F1F1F"/>
      </x:top>
      <x:bottom style="medium">
        <x:color rgb="FF1F1F1F"/>
      </x:bottom>
    </x:border>
    <x:border>
      <x:right style="thin">
        <x:color rgb="FF000000"/>
      </x:right>
      <x:top style="medium">
        <x:color rgb="FF1F1F1F"/>
      </x:top>
      <x:bottom style="medium">
        <x:color rgb="FF1F1F1F"/>
      </x:bottom>
    </x:border>
    <x:border>
      <x:right style="medium">
        <x:color rgb="FF1F1F1F"/>
      </x:right>
      <x:top style="medium">
        <x:color rgb="FF1F1F1F"/>
      </x:top>
      <x:bottom style="medium">
        <x:color rgb="FF1F1F1F"/>
      </x:bottom>
    </x:border>
    <x:border>
      <x:left style="thin">
        <x:color rgb="FF1F1F1F"/>
      </x:left>
      <x:right style="thin">
        <x:color rgb="FF1F1F1F"/>
      </x:right>
      <x:top style="thin">
        <x:color rgb="FF1F1F1F"/>
      </x:top>
      <x:bottom style="thin">
        <x:color rgb="FF1F1F1F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C9B458"/>
      </x:left>
      <x:top style="thin">
        <x:color rgb="FFC9B458"/>
      </x:top>
      <x:bottom style="thin">
        <x:color rgb="FFC9B458"/>
      </x:bottom>
    </x:border>
    <x:border>
      <x:top style="thin">
        <x:color rgb="FFC9B458"/>
      </x:top>
      <x:bottom style="thin">
        <x:color rgb="FFC9B458"/>
      </x:bottom>
    </x:border>
    <x:border>
      <x:right style="thin">
        <x:color rgb="FFC9B458"/>
      </x:right>
      <x:top style="thin">
        <x:color rgb="FFC9B458"/>
      </x:top>
      <x:bottom style="thin">
        <x:color rgb="FFC9B458"/>
      </x:bottom>
    </x:border>
  </x:borders>
  <x:cellStyleXfs count="1">
    <x:xf numFmtId="0" fontId="0" fillId="0" borderId="0"/>
  </x:cellStyleXfs>
  <x:cellXfs count="271">
    <x:xf numFmtId="0" fontId="0" fillId="0" borderId="0" xfId="0" applyFont="1" applyAlignment="1"/>
    <x:xf numFmtId="0" fontId="4" fillId="0" borderId="4" xfId="0" applyFont="1" applyBorder="1" applyAlignment="1"/>
    <x:xf numFmtId="0" fontId="4" fillId="0" borderId="4" xfId="0" applyFont="1" applyBorder="1" applyAlignment="1">
      <x:alignment horizontal="center"/>
    </x:xf>
    <x:xf numFmtId="0" fontId="5" fillId="0" borderId="4" xfId="0" applyFont="1" applyBorder="1" applyAlignment="1"/>
    <x:xf numFmtId="0" fontId="6" fillId="0" borderId="4" xfId="0" applyFont="1" applyBorder="1" applyAlignment="1"/>
    <x:xf numFmtId="0" fontId="6" fillId="2" borderId="4" xfId="0" applyFont="1" applyFill="1" applyBorder="1" applyAlignment="1"/>
    <x:xf numFmtId="0" fontId="6" fillId="2" borderId="4" xfId="0" applyFont="1" applyFill="1" applyBorder="1" applyAlignment="1"/>
    <x:xf numFmtId="0" fontId="7" fillId="3" borderId="4" xfId="0" applyFont="1" applyFill="1" applyBorder="1" applyAlignment="1"/>
    <x:xf numFmtId="0" fontId="5" fillId="2" borderId="4" xfId="0" applyFont="1" applyFill="1" applyBorder="1" applyAlignment="1">
      <x:alignment horizontal="center"/>
    </x:xf>
    <x:xf numFmtId="0" fontId="2" fillId="4" borderId="4" xfId="0" applyFont="1" applyFill="1" applyBorder="1" applyAlignment="1"/>
    <x:xf numFmtId="0" fontId="8" fillId="0" borderId="4" xfId="0" applyFont="1" applyBorder="1"/>
    <x:xf numFmtId="0" fontId="2" fillId="0" borderId="4" xfId="0" applyFont="1" applyBorder="1" applyAlignment="1"/>
    <x:xf numFmtId="0" fontId="2" fillId="0" borderId="4" xfId="0" applyFont="1" applyBorder="1" applyAlignment="1">
      <x:alignment horizontal="right"/>
    </x:xf>
    <x:xf numFmtId="9" fontId="2" fillId="0" borderId="4" xfId="0" applyNumberFormat="1" applyFont="1" applyBorder="1" applyAlignment="1">
      <x:alignment horizontal="right"/>
    </x:xf>
    <x:xf numFmtId="0" fontId="1" fillId="0" borderId="8" xfId="0" applyFont="1" applyFill="1" applyBorder="1" applyAlignment="1">
      <x:alignment wrapText="1"/>
    </x:xf>
    <x:xf numFmtId="0" fontId="1" fillId="0" borderId="11" xfId="0" applyFont="1" applyFill="1" applyBorder="1" applyAlignment="1">
      <x:alignment wrapText="1"/>
    </x:xf>
    <x:xf numFmtId="0" fontId="9" fillId="0" borderId="8" xfId="0" applyFont="1" applyFill="1" applyBorder="1" applyAlignment="1">
      <x:alignment wrapText="1"/>
    </x:xf>
    <x:xf numFmtId="0" fontId="5" fillId="0" borderId="5" xfId="0" applyFont="1" applyBorder="1" applyAlignment="1"/>
    <x:xf numFmtId="0" fontId="6" fillId="2" borderId="5" xfId="0" applyFont="1" applyFill="1" applyBorder="1" applyAlignment="1"/>
    <x:xf numFmtId="0" fontId="5" fillId="0" borderId="7" xfId="0" applyFont="1" applyBorder="1" applyAlignment="1"/>
    <x:xf numFmtId="0" fontId="6" fillId="2" borderId="7" xfId="0" applyFont="1" applyFill="1" applyBorder="1" applyAlignment="1"/>
    <x:xf numFmtId="0" fontId="5" fillId="0" borderId="13" xfId="0" applyFont="1" applyBorder="1" applyAlignment="1"/>
    <x:xf numFmtId="0" fontId="6" fillId="2" borderId="14" xfId="0" applyFont="1" applyFill="1" applyBorder="1" applyAlignment="1"/>
    <x:xf numFmtId="0" fontId="6" fillId="2" borderId="15" xfId="0" applyFont="1" applyFill="1" applyBorder="1" applyAlignment="1"/>
    <x:xf numFmtId="0" fontId="7" fillId="3" borderId="15" xfId="0" applyFont="1" applyFill="1" applyBorder="1" applyAlignment="1"/>
    <x:xf numFmtId="0" fontId="5" fillId="0" borderId="16" xfId="0" applyFont="1" applyBorder="1" applyAlignment="1"/>
    <x:xf numFmtId="0" fontId="1" fillId="0" borderId="10" xfId="0" applyFont="1" applyFill="1" applyBorder="1" applyAlignment="1">
      <x:alignment wrapText="1"/>
    </x:xf>
    <x:xf numFmtId="0" fontId="6" fillId="2" borderId="18" xfId="0" applyFont="1" applyFill="1" applyBorder="1" applyAlignment="1"/>
    <x:xf numFmtId="0" fontId="6" fillId="2" borderId="13" xfId="0" applyFont="1" applyFill="1" applyBorder="1" applyAlignment="1"/>
    <x:xf numFmtId="0" fontId="6" fillId="2" borderId="16" xfId="0" applyFont="1" applyFill="1" applyBorder="1" applyAlignment="1"/>
    <x:xf numFmtId="0" fontId="5" fillId="0" borderId="13" xfId="0" applyFont="1" applyFill="1" applyBorder="1" applyAlignment="1"/>
    <x:xf numFmtId="0" fontId="6" fillId="0" borderId="14" xfId="0" applyFont="1" applyFill="1" applyBorder="1" applyAlignment="1"/>
    <x:xf numFmtId="0" fontId="1" fillId="0" borderId="22" xfId="0" applyFont="1" applyFill="1" applyBorder="1" applyAlignment="1">
      <x:alignment wrapText="1"/>
    </x:xf>
    <x:xf numFmtId="0" fontId="5" fillId="0" borderId="4" xfId="0" applyFont="1" applyFill="1" applyBorder="1" applyAlignment="1"/>
    <x:xf numFmtId="0" fontId="6" fillId="0" borderId="15" xfId="0" applyFont="1" applyFill="1" applyBorder="1" applyAlignment="1"/>
    <x:xf numFmtId="0" fontId="1" fillId="0" borderId="9" xfId="0" applyFont="1" applyFill="1" applyBorder="1" applyAlignment="1">
      <x:alignment wrapText="1"/>
    </x:xf>
    <x:xf numFmtId="0" fontId="1" fillId="0" borderId="19" xfId="0" applyFont="1" applyFill="1" applyBorder="1" applyAlignment="1">
      <x:alignment wrapText="1"/>
    </x:xf>
    <x:xf numFmtId="0" fontId="1" fillId="0" borderId="20" xfId="0" applyFont="1" applyFill="1" applyBorder="1" applyAlignment="1">
      <x:alignment wrapText="1"/>
    </x:xf>
    <x:xf numFmtId="0" fontId="1" fillId="0" borderId="21" xfId="0" applyFont="1" applyFill="1" applyBorder="1" applyAlignment="1">
      <x:alignment wrapText="1"/>
    </x:xf>
    <x:xf numFmtId="0" fontId="1" fillId="0" borderId="15" xfId="0" applyFont="1" applyFill="1" applyBorder="1" applyAlignment="1">
      <x:alignment wrapText="1"/>
    </x:xf>
    <x:xf numFmtId="0" fontId="1" fillId="0" borderId="17" xfId="0" applyFont="1" applyFill="1" applyBorder="1" applyAlignment="1">
      <x:alignment wrapText="1"/>
    </x:xf>
    <x:xf numFmtId="0" fontId="6" fillId="0" borderId="13" xfId="0" applyFont="1" applyBorder="1" applyAlignment="1"/>
    <x:xf numFmtId="0" fontId="0" fillId="0" borderId="14" xfId="0" applyFill="1" applyBorder="1" applyAlignment="1">
      <x:alignment wrapText="1"/>
    </x:xf>
    <x:xf numFmtId="0" fontId="5" fillId="0" borderId="5" xfId="0" applyFont="1" applyFill="1" applyBorder="1" applyAlignment="1"/>
    <x:xf numFmtId="0" fontId="6" fillId="0" borderId="18" xfId="0" applyFont="1" applyFill="1" applyBorder="1" applyAlignment="1"/>
    <x:xf numFmtId="0" fontId="1" fillId="0" borderId="23" xfId="0" applyFont="1" applyFill="1" applyBorder="1" applyAlignment="1">
      <x:alignment wrapText="1"/>
    </x:xf>
    <x:xf numFmtId="0" fontId="1" fillId="0" borderId="24" xfId="0" applyFont="1" applyFill="1" applyBorder="1" applyAlignment="1">
      <x:alignment wrapText="1"/>
    </x:xf>
    <x:xf numFmtId="0" fontId="12" fillId="0" borderId="0" xfId="0" applyFont="1" applyAlignment="1"/>
    <x:xf numFmtId="0" fontId="2" fillId="0" borderId="0" xfId="0" applyFont="1" applyFill="1" applyBorder="1" applyAlignment="1"/>
    <x:xf numFmtId="0" fontId="4" fillId="0" borderId="6" xfId="0" applyFont="1" applyFill="1" applyBorder="1" applyAlignment="1">
      <x:alignment horizontal="center"/>
    </x:xf>
    <x:xf numFmtId="0" fontId="5" fillId="0" borderId="13" xfId="0" applyFont="1" applyBorder="1" applyAlignment="1">
      <x:alignment horizontal="center"/>
    </x:xf>
    <x:xf numFmtId="0" fontId="3" fillId="0" borderId="4" xfId="0" applyFont="1" applyBorder="1"/>
    <x:xf numFmtId="0" fontId="5" fillId="0" borderId="6" xfId="0" applyFont="1" applyBorder="1" applyAlignment="1">
      <x:alignment horizontal="center"/>
    </x:xf>
    <x:xf numFmtId="0" fontId="3" fillId="0" borderId="6" xfId="0" applyFont="1" applyBorder="1"/>
    <x:xf numFmtId="0" fontId="3" fillId="0" borderId="7" xfId="0" applyFont="1" applyBorder="1"/>
    <x:xf numFmtId="0" fontId="5" fillId="2" borderId="5" xfId="0" applyFont="1" applyFill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3" fillId="0" borderId="2" xfId="0" applyFont="1" applyBorder="1"/>
    <x:xf numFmtId="0" fontId="3" fillId="0" borderId="3" xfId="0" applyFont="1" applyBorder="1"/>
    <x:xf numFmtId="0" fontId="5" fillId="0" borderId="4" xfId="0" applyFont="1" applyBorder="1" applyAlignment="1">
      <x:alignment horizontal="center"/>
    </x:xf>
    <x:xf numFmtId="0" fontId="3" fillId="0" borderId="16" xfId="0" applyFont="1" applyBorder="1"/>
    <x:xf numFmtId="0" fontId="5" fillId="0" borderId="12" xfId="0" applyFont="1" applyBorder="1" applyAlignment="1">
      <x:alignment horizontal="center"/>
    </x:xf>
    <x:xf numFmtId="0" fontId="5" fillId="0" borderId="12" xfId="0" applyFont="1" applyFill="1" applyBorder="1" applyAlignment="1">
      <x:alignment horizontal="center"/>
    </x:xf>
    <x:xf numFmtId="0" fontId="3" fillId="0" borderId="6" xfId="0" applyFont="1" applyFill="1" applyBorder="1"/>
    <x:xf numFmtId="0" fontId="5" fillId="0" borderId="1" xfId="0" applyFont="1" applyBorder="1" applyAlignment="1"/>
    <x:xf numFmtId="0" fontId="6" fillId="2" borderId="0" xfId="0" applyFont="1" applyFill="1" applyBorder="1" applyAlignment="1"/>
    <x:xf numFmtId="0" fontId="6" fillId="2" borderId="27" xfId="0" applyFont="1" applyFill="1" applyBorder="1" applyAlignment="1"/>
    <x:xf numFmtId="0" fontId="6" fillId="2" borderId="25" xfId="0" applyFont="1" applyFill="1" applyBorder="1" applyAlignment="1"/>
    <x:xf numFmtId="0" fontId="6" fillId="0" borderId="0" xfId="0" applyFont="1" applyFill="1" applyBorder="1" applyAlignment="1"/>
    <x:xf numFmtId="0" fontId="6" fillId="2" borderId="26" xfId="0" applyFont="1" applyFill="1" applyBorder="1" applyAlignment="1"/>
    <x:xf numFmtId="0" fontId="6" fillId="2" borderId="28" xfId="0" applyFont="1" applyFill="1" applyBorder="1" applyAlignment="1"/>
    <x:xf numFmtId="0" fontId="2" fillId="4" borderId="0" xfId="0" applyFont="1" applyFill="1" applyBorder="1" applyAlignment="1"/>
    <x:xf numFmtId="9" fontId="2" fillId="0" borderId="0" xfId="0" applyNumberFormat="1" applyFont="1" applyBorder="1" applyAlignment="1">
      <x:alignment horizontal="right"/>
    </x:xf>
    <x:xf numFmtId="0" fontId="2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5" borderId="0" xfId="0" applyNumberFormat="1" applyFont="1" applyFill="1" applyBorder="1"/>
    <x:xf numFmtId="0" fontId="13" fillId="5" borderId="1" xfId="0" applyNumberFormat="1" applyFont="1" applyFill="1" applyBorder="1" applyAlignment="1">
      <x:alignment horizontal="center"/>
    </x:xf>
    <x:xf numFmtId="0" fontId="14" fillId="5" borderId="2" xfId="0" applyNumberFormat="1" applyFont="1" applyFill="1" applyBorder="1"/>
    <x:xf numFmtId="0" fontId="14" fillId="5" borderId="3" xfId="0" applyNumberFormat="1" applyFont="1" applyFill="1" applyBorder="1"/>
    <x:xf numFmtId="0" fontId="14" fillId="5" borderId="0" xfId="0" applyNumberFormat="1" applyFont="1" applyFill="1" applyBorder="1"/>
    <x:xf numFmtId="0" fontId="13" fillId="5" borderId="29" xfId="0" applyNumberFormat="1" applyFont="1" applyFill="1" applyBorder="1" applyAlignment="1">
      <x:alignment horizontal="center"/>
    </x:xf>
    <x:xf numFmtId="0" fontId="14" fillId="5" borderId="30" xfId="0" applyNumberFormat="1" applyFont="1" applyFill="1" applyBorder="1"/>
    <x:xf numFmtId="0" fontId="14" fillId="5" borderId="31" xfId="0" applyNumberFormat="1" applyFont="1" applyFill="1" applyBorder="1"/>
    <x:xf numFmtId="0" fontId="14" fillId="5" borderId="32" xfId="0" applyNumberFormat="1" applyFont="1" applyFill="1" applyBorder="1"/>
    <x:xf numFmtId="0" fontId="14" fillId="5" borderId="30" xfId="0" applyNumberFormat="1" applyFont="1" applyFill="1" applyBorder="1" applyAlignment="1">
      <x:alignment horizontal="center"/>
    </x:xf>
    <x:xf numFmtId="0" fontId="14" fillId="5" borderId="31" xfId="0" applyNumberFormat="1" applyFont="1" applyFill="1" applyBorder="1" applyAlignment="1">
      <x:alignment horizontal="center"/>
    </x:xf>
    <x:xf numFmtId="0" fontId="14" fillId="5" borderId="32" xfId="0" applyNumberFormat="1" applyFont="1" applyFill="1" applyBorder="1" applyAlignment="1">
      <x:alignment horizontal="center"/>
    </x:xf>
    <x:xf numFmtId="0" fontId="13" fillId="5" borderId="29" xfId="0" applyNumberFormat="1" applyFont="1" applyFill="1" applyBorder="1" applyAlignment="1">
      <x:alignment horizontal="center" vertical="center"/>
    </x:xf>
    <x:xf numFmtId="0" fontId="14" fillId="5" borderId="30" xfId="0" applyNumberFormat="1" applyFont="1" applyFill="1" applyBorder="1" applyAlignment="1">
      <x:alignment horizontal="center" vertical="center"/>
    </x:xf>
    <x:xf numFmtId="0" fontId="14" fillId="5" borderId="31" xfId="0" applyNumberFormat="1" applyFont="1" applyFill="1" applyBorder="1" applyAlignment="1">
      <x:alignment horizontal="center" vertical="center"/>
    </x:xf>
    <x:xf numFmtId="0" fontId="14" fillId="5" borderId="32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5" fillId="6" borderId="4" xfId="0" applyNumberFormat="1" applyFont="1" applyFill="1" applyBorder="1"/>
    <x:xf numFmtId="0" fontId="15" fillId="6" borderId="4" xfId="0" applyNumberFormat="1" applyFont="1" applyFill="1" applyBorder="1" applyAlignment="1">
      <x:alignment horizontal="center"/>
    </x:xf>
    <x:xf numFmtId="0" fontId="15" fillId="6" borderId="6" xfId="0" applyNumberFormat="1" applyFont="1" applyFill="1" applyBorder="1" applyAlignment="1">
      <x:alignment horizontal="center"/>
    </x:xf>
    <x:xf numFmtId="0" fontId="14" fillId="6" borderId="0" xfId="0" applyNumberFormat="1" applyFont="1" applyFill="1" applyBorder="1"/>
    <x:xf numFmtId="0" fontId="15" fillId="6" borderId="33" xfId="0" applyNumberFormat="1" applyFont="1" applyFill="1" applyBorder="1"/>
    <x:xf numFmtId="0" fontId="15" fillId="6" borderId="33" xfId="0" applyNumberFormat="1" applyFont="1" applyFill="1" applyBorder="1" applyAlignment="1">
      <x:alignment horizontal="center"/>
    </x:xf>
    <x:xf numFmtId="0" fontId="14" fillId="6" borderId="33" xfId="0" applyNumberFormat="1" applyFont="1" applyFill="1" applyBorder="1"/>
    <x:xf numFmtId="0" fontId="15" fillId="6" borderId="33" xfId="0" applyNumberFormat="1" applyFont="1" applyFill="1" applyBorder="1" applyAlignment="1">
      <x:alignment wrapText="1"/>
    </x:xf>
    <x:xf numFmtId="0" fontId="15" fillId="6" borderId="33" xfId="0" applyNumberFormat="1" applyFont="1" applyFill="1" applyBorder="1" applyAlignment="1">
      <x:alignment horizontal="center" wrapText="1"/>
    </x:xf>
    <x:xf numFmtId="0" fontId="14" fillId="6" borderId="33" xfId="0" applyNumberFormat="1" applyFont="1" applyFill="1" applyBorder="1" applyAlignment="1">
      <x:alignment wrapText="1"/>
    </x:xf>
    <x:xf numFmtId="0" fontId="15" fillId="6" borderId="33" xfId="0" applyNumberFormat="1" applyFont="1" applyFill="1" applyBorder="1" applyAlignment="1">
      <x:alignment vertical="center" wrapText="1"/>
    </x:xf>
    <x:xf numFmtId="0" fontId="15" fillId="6" borderId="33" xfId="0" applyNumberFormat="1" applyFont="1" applyFill="1" applyBorder="1" applyAlignment="1">
      <x:alignment horizontal="center" vertical="center" wrapText="1"/>
    </x:xf>
    <x:xf numFmtId="0" fontId="14" fillId="6" borderId="3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center"/>
    </x:xf>
    <x:xf numFmtId="0" fontId="5" fillId="0" borderId="4" xfId="0" applyNumberFormat="1" applyFont="1" applyFill="1" applyBorder="1"/>
    <x:xf numFmtId="0" fontId="5" fillId="0" borderId="1" xfId="0" applyNumberFormat="1" applyFont="1" applyFill="1" applyBorder="1"/>
    <x:xf numFmtId="0" fontId="16" fillId="0" borderId="15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6" fillId="0" borderId="4" xfId="0" applyNumberFormat="1" applyFont="1" applyFill="1" applyBorder="1"/>
    <x:xf numFmtId="0" fontId="0" fillId="0" borderId="16" xfId="0" applyNumberFormat="1" applyFont="1" applyFill="1" applyBorder="1"/>
    <x:xf numFmtId="0" fontId="5" fillId="0" borderId="16" xfId="0" applyNumberFormat="1" applyFont="1" applyFill="1" applyBorder="1"/>
    <x:xf numFmtId="0" fontId="6" fillId="2" borderId="16" xfId="0" applyNumberFormat="1" applyFont="1" applyFill="1" applyBorder="1"/>
    <x:xf numFmtId="0" fontId="16" fillId="0" borderId="17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horizontal="center"/>
    </x:xf>
    <x:xf numFmtId="0" fontId="5" fillId="0" borderId="13" xfId="0" applyNumberFormat="1" applyFont="1" applyFill="1" applyBorder="1"/>
    <x:xf numFmtId="0" fontId="6" fillId="0" borderId="13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6" fillId="2" borderId="4" xfId="0" applyNumberFormat="1" applyFont="1" applyFill="1" applyBorder="1"/>
    <x:xf numFmtId="0" fontId="5" fillId="0" borderId="6" xfId="0" applyNumberFormat="1" applyFont="1" applyFill="1" applyBorder="1" applyAlignment="1">
      <x:alignment horizontal="center"/>
    </x:xf>
    <x:xf numFmtId="0" fontId="5" fillId="0" borderId="7" xfId="0" applyNumberFormat="1" applyFont="1" applyFill="1" applyBorder="1"/>
    <x:xf numFmtId="0" fontId="6" fillId="2" borderId="7" xfId="0" applyNumberFormat="1" applyFont="1" applyFill="1" applyBorder="1"/>
    <x:xf numFmtId="0" fontId="6" fillId="2" borderId="0" xfId="0" applyNumberFormat="1" applyFont="1" applyFill="1" applyBorder="1"/>
    <x:xf numFmtId="0" fontId="16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6" fillId="3" borderId="4" xfId="0" applyNumberFormat="1" applyFont="1" applyFill="1" applyBorder="1"/>
    <x:xf numFmtId="0" fontId="16" fillId="0" borderId="8" xfId="0" applyNumberFormat="1" applyFont="1" applyFill="1" applyBorder="1" applyAlignment="1">
      <x:alignment wrapText="1"/>
    </x:xf>
    <x:xf numFmtId="0" fontId="5" fillId="0" borderId="5" xfId="0" applyNumberFormat="1" applyFont="1" applyFill="1" applyBorder="1"/>
    <x:xf numFmtId="0" fontId="6" fillId="2" borderId="5" xfId="0" applyNumberFormat="1" applyFont="1" applyFill="1" applyBorder="1"/>
    <x:xf numFmtId="0" fontId="16" fillId="0" borderId="1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horizontal="center"/>
    </x:xf>
    <x:xf numFmtId="0" fontId="6" fillId="2" borderId="14" xfId="0" applyNumberFormat="1" applyFont="1" applyFill="1" applyBorder="1"/>
    <x:xf numFmtId="0" fontId="6" fillId="2" borderId="27" xfId="0" applyNumberFormat="1" applyFont="1" applyFill="1" applyBorder="1"/>
    <x:xf numFmtId="0" fontId="16" fillId="0" borderId="9" xfId="0" applyNumberFormat="1" applyFont="1" applyFill="1" applyBorder="1" applyAlignment="1">
      <x:alignment wrapText="1"/>
    </x:xf>
    <x:xf numFmtId="0" fontId="6" fillId="2" borderId="15" xfId="0" applyNumberFormat="1" applyFont="1" applyFill="1" applyBorder="1"/>
    <x:xf numFmtId="0" fontId="6" fillId="3" borderId="15" xfId="0" applyNumberFormat="1" applyFont="1" applyFill="1" applyBorder="1"/>
    <x:xf numFmtId="0" fontId="6" fillId="2" borderId="18" xfId="0" applyNumberFormat="1" applyFont="1" applyFill="1" applyBorder="1"/>
    <x:xf numFmtId="0" fontId="6" fillId="2" borderId="13" xfId="0" applyNumberFormat="1" applyFont="1" applyFill="1" applyBorder="1"/>
    <x:xf numFmtId="0" fontId="6" fillId="2" borderId="25" xfId="0" applyNumberFormat="1" applyFont="1" applyFill="1" applyBorder="1"/>
    <x:xf numFmtId="0" fontId="16" fillId="0" borderId="19" xfId="0" applyNumberFormat="1" applyFont="1" applyFill="1" applyBorder="1" applyAlignment="1">
      <x:alignment wrapText="1"/>
    </x:xf>
    <x:xf numFmtId="0" fontId="16" fillId="0" borderId="20" xfId="0" applyNumberFormat="1" applyFont="1" applyFill="1" applyBorder="1" applyAlignment="1">
      <x:alignment wrapText="1"/>
    </x:xf>
    <x:xf numFmtId="0" fontId="16" fillId="0" borderId="21" xfId="0" applyNumberFormat="1" applyFont="1" applyFill="1" applyBorder="1" applyAlignment="1">
      <x:alignment wrapText="1"/>
    </x:xf>
    <x:xf numFmtId="0" fontId="6" fillId="0" borderId="14" xfId="0" applyNumberFormat="1" applyFont="1" applyFill="1" applyBorder="1"/>
    <x:xf numFmtId="0" fontId="6" fillId="0" borderId="0" xfId="0" applyNumberFormat="1" applyFont="1" applyFill="1" applyBorder="1"/>
    <x:xf numFmtId="0" fontId="16" fillId="0" borderId="22" xfId="0" applyNumberFormat="1" applyFont="1" applyFill="1" applyBorder="1" applyAlignment="1">
      <x:alignment wrapText="1"/>
    </x:xf>
    <x:xf numFmtId="0" fontId="6" fillId="0" borderId="15" xfId="0" applyNumberFormat="1" applyFont="1" applyFill="1" applyBorder="1"/>
    <x:xf numFmtId="0" fontId="6" fillId="0" borderId="18" xfId="0" applyNumberFormat="1" applyFont="1" applyFill="1" applyBorder="1"/>
    <x:xf numFmtId="0" fontId="16" fillId="0" borderId="23" xfId="0" applyNumberFormat="1" applyFont="1" applyFill="1" applyBorder="1" applyAlignment="1">
      <x:alignment wrapText="1"/>
    </x:xf>
    <x:xf numFmtId="0" fontId="16" fillId="0" borderId="24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5" fillId="2" borderId="5" xfId="0" applyNumberFormat="1" applyFont="1" applyFill="1" applyBorder="1" applyAlignment="1">
      <x:alignment horizontal="center"/>
    </x:xf>
    <x:xf numFmtId="0" fontId="6" fillId="2" borderId="28" xfId="0" applyNumberFormat="1" applyFont="1" applyFill="1" applyBorder="1"/>
    <x:xf numFmtId="0" fontId="5" fillId="0" borderId="4" xfId="0" applyNumberFormat="1" applyFont="1" applyFill="1" applyBorder="1" applyAlignment="1">
      <x:alignment horizontal="center" vertical="top"/>
    </x:xf>
    <x:xf numFmtId="0" fontId="5" fillId="0" borderId="4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16" fillId="0" borderId="1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5" fillId="0" borderId="16" xfId="0" applyNumberFormat="1" applyFont="1" applyFill="1" applyBorder="1" applyAlignment="1">
      <x:alignment vertical="top"/>
    </x:xf>
    <x:xf numFmtId="0" fontId="6" fillId="2" borderId="16" xfId="0" applyNumberFormat="1" applyFont="1" applyFill="1" applyBorder="1" applyAlignment="1">
      <x:alignment vertical="top"/>
    </x:xf>
    <x:xf numFmtId="0" fontId="16" fillId="0" borderId="17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horizontal="center" vertical="top"/>
    </x:xf>
    <x:xf numFmtId="0" fontId="5" fillId="0" borderId="13" xfId="0" applyNumberFormat="1" applyFont="1" applyFill="1" applyBorder="1" applyAlignment="1">
      <x:alignment vertical="top"/>
    </x:xf>
    <x:xf numFmtId="0" fontId="6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 wrapText="1"/>
    </x:xf>
    <x:xf numFmtId="0" fontId="6" fillId="2" borderId="4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horizontal="center" vertical="top"/>
    </x:xf>
    <x:xf numFmtId="0" fontId="5" fillId="0" borderId="7" xfId="0" applyNumberFormat="1" applyFont="1" applyFill="1" applyBorder="1" applyAlignment="1">
      <x:alignment vertical="top"/>
    </x:xf>
    <x:xf numFmtId="0" fontId="6" fillId="2" borderId="7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16" fillId="0" borderId="1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/>
    </x:xf>
    <x:xf numFmtId="0" fontId="6" fillId="3" borderId="4" xfId="0" applyNumberFormat="1" applyFont="1" applyFill="1" applyBorder="1" applyAlignment="1">
      <x:alignment vertical="top"/>
    </x:xf>
    <x:xf numFmtId="0" fontId="16" fillId="0" borderId="8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/>
    </x:xf>
    <x:xf numFmtId="0" fontId="6" fillId="2" borderId="5" xfId="0" applyNumberFormat="1" applyFont="1" applyFill="1" applyBorder="1" applyAlignment="1">
      <x:alignment vertical="top"/>
    </x:xf>
    <x:xf numFmtId="0" fontId="16" fillId="0" borderId="10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horizontal="center" vertical="top"/>
    </x:xf>
    <x:xf numFmtId="0" fontId="6" fillId="2" borderId="14" xfId="0" applyNumberFormat="1" applyFont="1" applyFill="1" applyBorder="1" applyAlignment="1">
      <x:alignment vertical="top"/>
    </x:xf>
    <x:xf numFmtId="0" fontId="6" fillId="2" borderId="27" xfId="0" applyNumberFormat="1" applyFont="1" applyFill="1" applyBorder="1" applyAlignment="1">
      <x:alignment vertical="top"/>
    </x:xf>
    <x:xf numFmtId="0" fontId="16" fillId="0" borderId="9" xfId="0" applyNumberFormat="1" applyFont="1" applyFill="1" applyBorder="1" applyAlignment="1">
      <x:alignment vertical="top" wrapText="1"/>
    </x:xf>
    <x:xf numFmtId="0" fontId="6" fillId="2" borderId="15" xfId="0" applyNumberFormat="1" applyFont="1" applyFill="1" applyBorder="1" applyAlignment="1">
      <x:alignment vertical="top"/>
    </x:xf>
    <x:xf numFmtId="0" fontId="6" fillId="3" borderId="15" xfId="0" applyNumberFormat="1" applyFont="1" applyFill="1" applyBorder="1" applyAlignment="1">
      <x:alignment vertical="top"/>
    </x:xf>
    <x:xf numFmtId="0" fontId="6" fillId="2" borderId="18" xfId="0" applyNumberFormat="1" applyFont="1" applyFill="1" applyBorder="1" applyAlignment="1">
      <x:alignment vertical="top"/>
    </x:xf>
    <x:xf numFmtId="0" fontId="6" fillId="2" borderId="13" xfId="0" applyNumberFormat="1" applyFont="1" applyFill="1" applyBorder="1" applyAlignment="1">
      <x:alignment vertical="top"/>
    </x:xf>
    <x:xf numFmtId="0" fontId="6" fillId="2" borderId="25" xfId="0" applyNumberFormat="1" applyFont="1" applyFill="1" applyBorder="1" applyAlignment="1">
      <x:alignment vertical="top"/>
    </x:xf>
    <x:xf numFmtId="0" fontId="16" fillId="0" borderId="19" xfId="0" applyNumberFormat="1" applyFont="1" applyFill="1" applyBorder="1" applyAlignment="1">
      <x:alignment vertical="top" wrapText="1"/>
    </x:xf>
    <x:xf numFmtId="0" fontId="16" fillId="0" borderId="20" xfId="0" applyNumberFormat="1" applyFont="1" applyFill="1" applyBorder="1" applyAlignment="1">
      <x:alignment vertical="top" wrapText="1"/>
    </x:xf>
    <x:xf numFmtId="0" fontId="16" fillId="0" borderId="21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16" fillId="0" borderId="22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/>
    </x:xf>
    <x:xf numFmtId="0" fontId="6" fillId="0" borderId="18" xfId="0" applyNumberFormat="1" applyFont="1" applyFill="1" applyBorder="1" applyAlignment="1">
      <x:alignment vertical="top"/>
    </x:xf>
    <x:xf numFmtId="0" fontId="16" fillId="0" borderId="23" xfId="0" applyNumberFormat="1" applyFont="1" applyFill="1" applyBorder="1" applyAlignment="1">
      <x:alignment vertical="top" wrapText="1"/>
    </x:xf>
    <x:xf numFmtId="0" fontId="16" fillId="0" borderId="2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/>
    </x:xf>
    <x:xf numFmtId="0" fontId="5" fillId="2" borderId="5" xfId="0" applyNumberFormat="1" applyFont="1" applyFill="1" applyBorder="1" applyAlignment="1">
      <x:alignment horizontal="center" vertical="top"/>
    </x:xf>
    <x:xf numFmtId="0" fontId="6" fillId="2" borderId="28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6" fillId="2" borderId="16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2" borderId="4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6" fillId="2" borderId="7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vertical="top" wrapText="1"/>
    </x:xf>
    <x:xf numFmtId="0" fontId="6" fillId="2" borderId="14" xfId="0" applyNumberFormat="1" applyFont="1" applyFill="1" applyBorder="1" applyAlignment="1">
      <x:alignment vertical="top" wrapText="1"/>
    </x:xf>
    <x:xf numFmtId="0" fontId="6" fillId="2" borderId="27" xfId="0" applyNumberFormat="1" applyFont="1" applyFill="1" applyBorder="1" applyAlignment="1">
      <x:alignment vertical="top" wrapText="1"/>
    </x:xf>
    <x:xf numFmtId="0" fontId="6" fillId="2" borderId="15" xfId="0" applyNumberFormat="1" applyFont="1" applyFill="1" applyBorder="1" applyAlignment="1">
      <x:alignment vertical="top" wrapText="1"/>
    </x:xf>
    <x:xf numFmtId="0" fontId="6" fillId="3" borderId="15" xfId="0" applyNumberFormat="1" applyFont="1" applyFill="1" applyBorder="1" applyAlignment="1">
      <x:alignment vertical="top" wrapText="1"/>
    </x:xf>
    <x:xf numFmtId="0" fontId="6" fillId="2" borderId="18" xfId="0" applyNumberFormat="1" applyFont="1" applyFill="1" applyBorder="1" applyAlignment="1">
      <x:alignment vertical="top" wrapText="1"/>
    </x:xf>
    <x:xf numFmtId="0" fontId="6" fillId="2" borderId="13" xfId="0" applyNumberFormat="1" applyFont="1" applyFill="1" applyBorder="1" applyAlignment="1">
      <x:alignment vertical="top" wrapText="1"/>
    </x:xf>
    <x:xf numFmtId="0" fontId="6" fillId="2" borderId="25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2" borderId="28" xfId="0" applyNumberFormat="1" applyFont="1" applyFill="1" applyBorder="1" applyAlignment="1">
      <x:alignment vertical="top" wrapText="1"/>
    </x:xf>
    <x:xf numFmtId="0" fontId="5" fillId="0" borderId="34" xfId="0" applyNumberFormat="1" applyFont="1" applyFill="1" applyBorder="1" applyAlignment="1">
      <x:alignment horizontal="center" vertical="top"/>
    </x:xf>
    <x:xf numFmtId="0" fontId="5" fillId="0" borderId="34" xfId="0" applyNumberFormat="1" applyFont="1" applyFill="1" applyBorder="1" applyAlignment="1">
      <x:alignment vertical="top" wrapText="1"/>
    </x:xf>
    <x:xf numFmtId="0" fontId="16" fillId="0" borderId="34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/>
    </x:xf>
    <x:xf numFmtId="0" fontId="6" fillId="0" borderId="34" xfId="0" applyNumberFormat="1" applyFont="1" applyFill="1" applyBorder="1" applyAlignment="1">
      <x:alignment vertical="top" wrapText="1"/>
    </x:xf>
    <x:xf numFmtId="0" fontId="6" fillId="2" borderId="34" xfId="0" applyNumberFormat="1" applyFont="1" applyFill="1" applyBorder="1" applyAlignment="1">
      <x:alignment vertical="top" wrapText="1"/>
    </x:xf>
    <x:xf numFmtId="0" fontId="6" fillId="3" borderId="34" xfId="0" applyNumberFormat="1" applyFont="1" applyFill="1" applyBorder="1" applyAlignment="1">
      <x:alignment vertical="top" wrapText="1"/>
    </x:xf>
    <x:xf numFmtId="0" fontId="5" fillId="2" borderId="34" xfId="0" applyNumberFormat="1" applyFont="1" applyFill="1" applyBorder="1" applyAlignment="1">
      <x:alignment horizontal="center" vertical="top"/>
    </x:xf>
    <x:xf numFmtId="0" fontId="5" fillId="0" borderId="34" xfId="0" applyNumberFormat="1" applyFont="1" applyFill="1" applyBorder="1" applyAlignment="1">
      <x:alignment horizontal="center" vertical="center"/>
    </x:xf>
    <x:xf numFmtId="0" fontId="0" fillId="0" borderId="34" xfId="0" applyNumberFormat="1" applyFont="1" applyFill="1" applyBorder="1" applyAlignment="1">
      <x:alignment vertical="center"/>
    </x:xf>
    <x:xf numFmtId="0" fontId="5" fillId="2" borderId="34" xfId="0" applyNumberFormat="1" applyFont="1" applyFill="1" applyBorder="1" applyAlignment="1">
      <x:alignment horizontal="center" vertical="center"/>
    </x:xf>
    <x:xf numFmtId="0" fontId="0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0" fontId="17" fillId="0" borderId="34" xfId="0" applyNumberFormat="1" applyFont="1" applyFill="1" applyBorder="1" applyAlignment="1">
      <x:alignment horizontal="center" vertical="center"/>
    </x:xf>
    <x:xf numFmtId="0" fontId="4" fillId="2" borderId="34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4" fillId="5" borderId="29" xfId="0" applyNumberFormat="1" applyFont="1" applyFill="1" applyBorder="1"/>
    <x:xf numFmtId="0" fontId="14" fillId="5" borderId="29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33" xfId="0" applyNumberFormat="1" applyFont="1" applyFill="1" applyBorder="1"/>
    <x:xf numFmtId="0" fontId="0" fillId="0" borderId="34" xfId="0" applyNumberFormat="1" applyFont="1" applyFill="1" applyBorder="1"/>
    <x:xf numFmtId="200" fontId="0" fillId="0" borderId="34" xfId="0" applyNumberFormat="1" applyFont="1" applyFill="1" applyBorder="1"/>
    <x:xf numFmtId="0" fontId="0" fillId="0" borderId="34" xfId="0" applyNumberFormat="1" applyFont="1" applyFill="1" applyBorder="1" applyAlignment="1">
      <x:alignment wrapText="1"/>
    </x:xf>
    <x:xf numFmtId="200" fontId="0" fillId="0" borderId="34" xfId="0" applyNumberFormat="1" applyFont="1" applyFill="1" applyBorder="1" applyAlignment="1">
      <x:alignment wrapText="1"/>
    </x:xf>
    <x:xf numFmtId="0" fontId="17" fillId="0" borderId="34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horizontal="right" wrapText="1"/>
    </x:xf>
    <x:xf numFmtId="200" fontId="0" fillId="0" borderId="34" xfId="0" applyNumberFormat="1" applyFont="1" applyFill="1" applyBorder="1" applyAlignment="1">
      <x:alignment horizontal="right" wrapText="1"/>
    </x:xf>
    <x:xf numFmtId="0" fontId="0" fillId="8" borderId="0" xfId="0" applyNumberFormat="1" applyFont="1" applyFill="1" applyBorder="1"/>
    <x:xf numFmtId="0" fontId="18" fillId="8" borderId="0" xfId="0" applyNumberFormat="1" applyFont="1" applyFill="1" applyBorder="1"/>
    <x:xf numFmtId="0" fontId="18" fillId="8" borderId="35" xfId="0" applyNumberFormat="1" applyFont="1" applyFill="1" applyBorder="1"/>
    <x:xf numFmtId="0" fontId="18" fillId="8" borderId="36" xfId="0" applyNumberFormat="1" applyFont="1" applyFill="1" applyBorder="1"/>
    <x:xf numFmtId="0" fontId="18" fillId="8" borderId="37" xfId="0" applyNumberFormat="1" applyFont="1" applyFill="1" applyBorder="1"/>
    <x:xf numFmtId="0" fontId="18" fillId="8" borderId="35" xfId="0" applyNumberFormat="1" applyFont="1" applyFill="1" applyBorder="1" applyAlignment="1">
      <x:alignment wrapText="1"/>
    </x:xf>
    <x:xf numFmtId="0" fontId="18" fillId="8" borderId="36" xfId="0" applyNumberFormat="1" applyFont="1" applyFill="1" applyBorder="1" applyAlignment="1">
      <x:alignment wrapText="1"/>
    </x:xf>
    <x:xf numFmtId="0" fontId="18" fillId="8" borderId="37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006100"/>
      </x:font>
      <x:fill>
        <x:patternFill patternType="solid">
          <x:bgColor rgb="FFC6EFCE"/>
        </x:patternFill>
      </x:fill>
    </x:dxf>
    <x:dxf>
      <x:font>
        <x:i/>
        <x:color rgb="FF44546A"/>
      </x:font>
      <x:fill>
        <x:patternFill patternType="solid">
          <x:bgColor rgb="FFD9E1F2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cf4696cb5431c" /><Relationship Type="http://schemas.openxmlformats.org/officeDocument/2006/relationships/theme" Target="/xl/theme/theme1.xml" Id="R87b240033862411a" /><Relationship Type="http://schemas.openxmlformats.org/officeDocument/2006/relationships/sharedStrings" Target="/xl/sharedStrings.xml" Id="Rb8eebba77de84a8d" /><Relationship Type="http://schemas.openxmlformats.org/officeDocument/2006/relationships/worksheet" Target="/xl/worksheets/sheet1.xml" Id="Rffa6594403cf4bd2" /><Relationship Type="http://schemas.microsoft.com/office/2017/10/relationships/person" Target="/xl/persons/person.xml" Id="R6d2342eff76d4983" /></Relationships>
</file>

<file path=xl/persons/person.xml><?xml version="1.0" encoding="utf-8"?>
<xltc:personList xmlns:xltc="http://schemas.microsoft.com/office/spreadsheetml/2018/threadedcomments">
  <xltc:person displayName="Tesfaye Tolcha Gemeda" id="{BCD35C28-EA57-CD5E-2173-53DE3C27FD70}"/>
  <xltc:person displayName="Mehuba Gragn Oumer" id="{269C4EE3-3881-5DB1-60AB-31F615A956E4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74edc87f4094707" /><Relationship Type="http://schemas.openxmlformats.org/officeDocument/2006/relationships/vmlDrawing" Target="/xl/drawings/vmldrawing.vml" Id="R6d56ab47d68942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5703125" defaultRowHeight="15.75"/>
  <x:cols>
    <x:col min="1" max="1" width="23.75" hidden="0" customWidth="1"/>
    <x:col min="2" max="2" width="48.75" hidden="0" customWidth="1"/>
    <x:col min="3" max="3" width="31.25" hidden="0" customWidth="1"/>
    <x:col min="4" max="4" width="18.1299991607666" hidden="0" customWidth="1"/>
    <x:col min="5" max="5" width="16.8799991607666" hidden="0" customWidth="1"/>
    <x:col min="6" max="6" width="45" hidden="0" customWidth="1"/>
    <x:col min="7" max="7" width="26.25" hidden="0" customWidth="1"/>
    <x:col min="8" max="8" width="20.6299991607666" hidden="0" customWidth="1"/>
    <x:col min="9" max="9" width="56.25" hidden="0" customWidth="1"/>
  </x:cols>
  <x:sheetData>
    <x:row r="1" ht="26" customHeight="1">
      <x:c r="A1" s="88" t="str">
        <x:v>FACILITY MANAGEMENT MODULE — UAT STATUS DOCUMENTATION</x:v>
      </x:c>
      <x:c r="B1" s="89"/>
      <x:c r="C1" s="89"/>
      <x:c r="D1" s="89"/>
      <x:c r="E1" s="90"/>
      <x:c r="F1" s="89"/>
      <x:c r="G1" s="89"/>
      <x:c r="H1" s="89"/>
      <x:c r="I1" s="91"/>
    </x:row>
    <x:row r="2" ht="38" customHeight="1">
      <x:c r="A2" s="106" t="str">
        <x:v>SUB-MODULE</x:v>
      </x:c>
      <x:c r="B2" s="107" t="str">
        <x:v>DETAILS</x:v>
      </x:c>
      <x:c r="C2" s="107" t="str">
        <x:v>TA Remark 11th July 2026</x:v>
      </x:c>
      <x:c r="D2" s="107" t="str">
        <x:v>Pilot Rollout Priority</x:v>
      </x:c>
      <x:c r="E2" s="107" t="str">
        <x:v>HB Result 14th July 2026</x:v>
      </x:c>
      <x:c r="F2" s="107" t="str">
        <x:v>HB Remark / Comment 14th July 2026</x:v>
      </x:c>
      <x:c r="G2" s="108" t="str">
        <x:v>TA REMARKS 28th July 2026</x:v>
      </x:c>
      <x:c r="H2" s="108" t="str">
        <x:v>HB Bank Result after deployment</x:v>
      </x:c>
      <x:c r="I2" s="108" t="str">
        <x:v>comment / implementation note</x:v>
      </x:c>
    </x:row>
    <x:row r="3" ht="42" customHeight="1">
      <x:c r="A3" s="247" t="s">
        <x:v>0</x:v>
      </x:c>
      <x:c r="B3" s="235" t="s">
        <x:v>1</x:v>
      </x:c>
      <x:c r="C3" s="235" t="s">
        <x:v>2</x:v>
      </x:c>
      <x:c r="D3" s="235" t="s">
        <x:v>3</x:v>
      </x:c>
      <x:c r="E3" s="236" t="s">
        <x:v>4</x:v>
      </x:c>
      <x:c r="F3" s="237"/>
      <x:c r="G3" s="237" t="str">
        <x:v>Implemented</x:v>
      </x:c>
      <x:c r="H3" s="237" t="str">
        <x:v>Pending UAT</x:v>
      </x:c>
      <x:c r="I3" s="237" t="str">
        <x:v>Previously passed by HB; retain as a regression check after deployment.</x:v>
      </x:c>
    </x:row>
    <x:row r="4" ht="58" customHeight="1">
      <x:c r="A4" s="248"/>
      <x:c r="B4" s="235" t="s">
        <x:v>5</x:v>
      </x:c>
      <x:c r="C4" s="235" t="s">
        <x:v>2</x:v>
      </x:c>
      <x:c r="D4" s="235" t="s">
        <x:v>3</x:v>
      </x:c>
      <x:c r="E4" s="236" t="s">
        <x:v>6</x:v>
      </x:c>
      <x:c r="F4" s="237" t="s">
        <x:v>7</x:v>
      </x:c>
      <x:c r="G4" s="237" t="str">
        <x:v>Implemented</x:v>
      </x:c>
      <x:c r="H4" s="237" t="str">
        <x:v>Pending UAT</x:v>
      </x:c>
      <x:c r="I4" s="237" t="str">
        <x:v>Dedicated specification field and request attachments are included.</x:v>
      </x:c>
    </x:row>
    <x:row r="5" ht="42" customHeight="1">
      <x:c r="A5" s="248"/>
      <x:c r="B5" s="235" t="s">
        <x:v>8</x:v>
      </x:c>
      <x:c r="C5" s="239" t="s">
        <x:v>2</x:v>
      </x:c>
      <x:c r="D5" s="235" t="s">
        <x:v>3</x:v>
      </x:c>
      <x:c r="E5" s="236" t="s">
        <x:v>4</x:v>
      </x:c>
      <x:c r="F5" s="237"/>
      <x:c r="G5" s="237" t="str">
        <x:v>Implemented</x:v>
      </x:c>
      <x:c r="H5" s="237" t="str">
        <x:v>Pending UAT</x:v>
      </x:c>
      <x:c r="I5" s="237" t="str">
        <x:v>Previously passed by HB; retain as a regression check after deployment.</x:v>
      </x:c>
    </x:row>
    <x:row r="6" ht="42" customHeight="1">
      <x:c r="A6" s="248"/>
      <x:c r="B6" s="235" t="s">
        <x:v>9</x:v>
      </x:c>
      <x:c r="C6" s="239" t="s">
        <x:v>2</x:v>
      </x:c>
      <x:c r="D6" s="235" t="s">
        <x:v>3</x:v>
      </x:c>
      <x:c r="E6" s="236" t="s">
        <x:v>4</x:v>
      </x:c>
      <x:c r="F6" s="237"/>
      <x:c r="G6" s="237" t="str">
        <x:v>Implemented</x:v>
      </x:c>
      <x:c r="H6" s="237" t="str">
        <x:v>Pending UAT</x:v>
      </x:c>
      <x:c r="I6" s="237" t="str">
        <x:v>Previously passed by HB; retain as a regression check after deployment.</x:v>
      </x:c>
    </x:row>
    <x:row r="7" ht="42" customHeight="1">
      <x:c r="A7" s="248"/>
      <x:c r="B7" s="235" t="s">
        <x:v>10</x:v>
      </x:c>
      <x:c r="C7" s="239" t="s">
        <x:v>2</x:v>
      </x:c>
      <x:c r="D7" s="235" t="s">
        <x:v>3</x:v>
      </x:c>
      <x:c r="E7" s="236" t="s">
        <x:v>4</x:v>
      </x:c>
      <x:c r="F7" s="237" t="s">
        <x:v>11</x:v>
      </x:c>
      <x:c r="G7" s="237" t="str">
        <x:v>Implemented</x:v>
      </x:c>
      <x:c r="H7" s="237" t="str">
        <x:v>Pending UAT</x:v>
      </x:c>
      <x:c r="I7" s="237" t="str">
        <x:v>Previously passed by HB; retain as a regression check after deployment.</x:v>
      </x:c>
    </x:row>
    <x:row r="8" ht="42" customHeight="1">
      <x:c r="A8" s="248"/>
      <x:c r="B8" s="235" t="s">
        <x:v>12</x:v>
      </x:c>
      <x:c r="C8" s="239" t="s">
        <x:v>2</x:v>
      </x:c>
      <x:c r="D8" s="235" t="s">
        <x:v>3</x:v>
      </x:c>
      <x:c r="E8" s="236" t="s">
        <x:v>4</x:v>
      </x:c>
      <x:c r="F8" s="237" t="s">
        <x:v>11</x:v>
      </x:c>
      <x:c r="G8" s="237" t="str">
        <x:v>Implemented</x:v>
      </x:c>
      <x:c r="H8" s="237" t="str">
        <x:v>Pending UAT</x:v>
      </x:c>
      <x:c r="I8" s="237" t="str">
        <x:v>Previously passed by HB; retain as a regression check after deployment.</x:v>
      </x:c>
    </x:row>
    <x:row r="9" ht="42" customHeight="1">
      <x:c r="A9" s="248"/>
      <x:c r="B9" s="235" t="s">
        <x:v>13</x:v>
      </x:c>
      <x:c r="C9" s="239" t="s">
        <x:v>2</x:v>
      </x:c>
      <x:c r="D9" s="235" t="s">
        <x:v>3</x:v>
      </x:c>
      <x:c r="E9" s="236" t="s">
        <x:v>4</x:v>
      </x:c>
      <x:c r="F9" s="237" t="s">
        <x:v>11</x:v>
      </x:c>
      <x:c r="G9" s="237" t="str">
        <x:v>Implemented</x:v>
      </x:c>
      <x:c r="H9" s="237" t="str">
        <x:v>Pending UAT</x:v>
      </x:c>
      <x:c r="I9" s="237" t="str">
        <x:v>Previously passed by HB; retain as a regression check after deployment.</x:v>
      </x:c>
    </x:row>
    <x:row r="10" ht="58" customHeight="1">
      <x:c r="A10" s="248"/>
      <x:c r="B10" s="235" t="s">
        <x:v>14</x:v>
      </x:c>
      <x:c r="C10" s="240" t="s">
        <x:v>15</x:v>
      </x:c>
      <x:c r="D10" s="235" t="s">
        <x:v>3</x:v>
      </x:c>
      <x:c r="E10" s="236" t="s">
        <x:v>6</x:v>
      </x:c>
      <x:c r="F10" s="237" t="s">
        <x:v>16</x:v>
      </x:c>
      <x:c r="G10" s="237" t="str">
        <x:v>Implemented — ERP report</x:v>
      </x:c>
      <x:c r="H10" s="237" t="str">
        <x:v>Pending UAT</x:v>
      </x:c>
      <x:c r="I10" s="237" t="str">
        <x:v>Portal request details and lines are included; the formal requisition report remains an ERP output.</x:v>
      </x:c>
    </x:row>
    <x:row r="11" ht="42" customHeight="1">
      <x:c r="A11" s="247" t="s">
        <x:v>17</x:v>
      </x:c>
      <x:c r="B11" s="235" t="s">
        <x:v>18</x:v>
      </x:c>
      <x:c r="C11" s="239" t="s">
        <x:v>2</x:v>
      </x:c>
      <x:c r="D11" s="235" t="s">
        <x:v>3</x:v>
      </x:c>
      <x:c r="E11" s="237" t="s">
        <x:v>4</x:v>
      </x:c>
      <x:c r="F11" s="237"/>
      <x:c r="G11" s="237" t="str">
        <x:v>Implemented</x:v>
      </x:c>
      <x:c r="H11" s="237" t="str">
        <x:v>Pending UAT</x:v>
      </x:c>
      <x:c r="I11" s="237" t="str">
        <x:v>Previously passed by HB; retain as a regression check after deployment.</x:v>
      </x:c>
    </x:row>
    <x:row r="12" ht="42" customHeight="1">
      <x:c r="A12" s="248"/>
      <x:c r="B12" s="235" t="s">
        <x:v>19</x:v>
      </x:c>
      <x:c r="C12" s="239" t="s">
        <x:v>2</x:v>
      </x:c>
      <x:c r="D12" s="235" t="s">
        <x:v>3</x:v>
      </x:c>
      <x:c r="E12" s="236" t="s">
        <x:v>4</x:v>
      </x:c>
      <x:c r="F12" s="237"/>
      <x:c r="G12" s="237" t="str">
        <x:v>Implemented</x:v>
      </x:c>
      <x:c r="H12" s="237" t="str">
        <x:v>Pending UAT</x:v>
      </x:c>
      <x:c r="I12" s="237" t="str">
        <x:v>Previously passed by HB; retain as a regression check after deployment.</x:v>
      </x:c>
    </x:row>
    <x:row r="13" ht="42" customHeight="1">
      <x:c r="A13" s="248"/>
      <x:c r="B13" s="235" t="s">
        <x:v>20</x:v>
      </x:c>
      <x:c r="C13" s="240" t="s">
        <x:v>2</x:v>
      </x:c>
      <x:c r="D13" s="235" t="s">
        <x:v>3</x:v>
      </x:c>
      <x:c r="E13" s="236" t="s">
        <x:v>4</x:v>
      </x:c>
      <x:c r="F13" s="237"/>
      <x:c r="G13" s="237" t="str">
        <x:v>Implemented</x:v>
      </x:c>
      <x:c r="H13" s="237" t="str">
        <x:v>Pending UAT</x:v>
      </x:c>
      <x:c r="I13" s="237" t="str">
        <x:v>Previously passed by HB; retain as a regression check after deployment.</x:v>
      </x:c>
    </x:row>
    <x:row r="14" ht="42" customHeight="1">
      <x:c r="A14" s="248"/>
      <x:c r="B14" s="235" t="s">
        <x:v>21</x:v>
      </x:c>
      <x:c r="C14" s="240" t="s">
        <x:v>2</x:v>
      </x:c>
      <x:c r="D14" s="235" t="s">
        <x:v>3</x:v>
      </x:c>
      <x:c r="E14" s="236" t="s">
        <x:v>4</x:v>
      </x:c>
      <x:c r="F14" s="237"/>
      <x:c r="G14" s="237" t="str">
        <x:v>Implemented</x:v>
      </x:c>
      <x:c r="H14" s="237" t="str">
        <x:v>Pending UAT</x:v>
      </x:c>
      <x:c r="I14" s="237" t="str">
        <x:v>Previously passed by HB; retain as a regression check after deployment.</x:v>
      </x:c>
    </x:row>
    <x:row r="15" ht="58" customHeight="1">
      <x:c r="A15" s="248"/>
      <x:c r="B15" s="235" t="s">
        <x:v>22</x:v>
      </x:c>
      <x:c r="C15" s="240" t="s">
        <x:v>2</x:v>
      </x:c>
      <x:c r="D15" s="235" t="s">
        <x:v>3</x:v>
      </x:c>
      <x:c r="E15" s="236" t="s">
        <x:v>6</x:v>
      </x:c>
      <x:c r="F15" s="237" t="s">
        <x:v>23</x:v>
      </x:c>
      <x:c r="G15" s="237" t="str">
        <x:v>Implemented</x:v>
      </x:c>
      <x:c r="H15" s="237" t="str">
        <x:v>Pending UAT</x:v>
      </x:c>
      <x:c r="I15" s="237" t="str">
        <x:v>Recipient confirmation and post-receipt action are included.</x:v>
      </x:c>
    </x:row>
    <x:row r="16" ht="42" customHeight="1">
      <x:c r="A16" s="248"/>
      <x:c r="B16" s="235" t="s">
        <x:v>24</x:v>
      </x:c>
      <x:c r="C16" s="240" t="s">
        <x:v>2</x:v>
      </x:c>
      <x:c r="D16" s="235" t="s">
        <x:v>3</x:v>
      </x:c>
      <x:c r="E16" s="236" t="s">
        <x:v>4</x:v>
      </x:c>
      <x:c r="F16" s="237"/>
      <x:c r="G16" s="237" t="str">
        <x:v>Implemented</x:v>
      </x:c>
      <x:c r="H16" s="237" t="str">
        <x:v>Pending UAT</x:v>
      </x:c>
      <x:c r="I16" s="237" t="str">
        <x:v>Previously passed by HB; retain as a regression check after deployment.</x:v>
      </x:c>
    </x:row>
    <x:row r="17" ht="42" customHeight="1">
      <x:c r="A17" s="248"/>
      <x:c r="B17" s="235" t="s">
        <x:v>25</x:v>
      </x:c>
      <x:c r="C17" s="240" t="s">
        <x:v>2</x:v>
      </x:c>
      <x:c r="D17" s="235" t="s">
        <x:v>3</x:v>
      </x:c>
      <x:c r="E17" s="236" t="s">
        <x:v>4</x:v>
      </x:c>
      <x:c r="F17" s="237"/>
      <x:c r="G17" s="237" t="str">
        <x:v>Implemented</x:v>
      </x:c>
      <x:c r="H17" s="237" t="str">
        <x:v>Pending UAT</x:v>
      </x:c>
      <x:c r="I17" s="237" t="str">
        <x:v>Previously passed by HB; retain as a regression check after deployment.</x:v>
      </x:c>
    </x:row>
    <x:row r="18" ht="58" customHeight="1">
      <x:c r="A18" s="248"/>
      <x:c r="B18" s="235" t="s">
        <x:v>26</x:v>
      </x:c>
      <x:c r="C18" s="240" t="s">
        <x:v>15</x:v>
      </x:c>
      <x:c r="D18" s="235" t="s">
        <x:v>3</x:v>
      </x:c>
      <x:c r="E18" s="236" t="s">
        <x:v>6</x:v>
      </x:c>
      <x:c r="F18" s="237" t="s">
        <x:v>27</x:v>
      </x:c>
      <x:c r="G18" s="237" t="str">
        <x:v>Implemented — ERP report</x:v>
      </x:c>
      <x:c r="H18" s="237" t="str">
        <x:v>Pending UAT</x:v>
      </x:c>
      <x:c r="I18" s="237" t="str">
        <x:v>Request detail shows requested, issued, received, and outstanding quantities; the formal report remains an ERP output.</x:v>
      </x:c>
    </x:row>
    <x:row r="19" ht="42" customHeight="1">
      <x:c r="A19" s="248"/>
      <x:c r="B19" s="235" t="s">
        <x:v>28</x:v>
      </x:c>
      <x:c r="C19" s="240" t="s">
        <x:v>2</x:v>
      </x:c>
      <x:c r="D19" s="235" t="s">
        <x:v>3</x:v>
      </x:c>
      <x:c r="E19" s="236" t="s">
        <x:v>4</x:v>
      </x:c>
      <x:c r="F19" s="237"/>
      <x:c r="G19" s="237" t="str">
        <x:v>Implemented</x:v>
      </x:c>
      <x:c r="H19" s="237" t="str">
        <x:v>Pending UAT</x:v>
      </x:c>
      <x:c r="I19" s="237" t="str">
        <x:v>Previously passed by HB; retain as a regression check after deployment.</x:v>
      </x:c>
    </x:row>
    <x:row r="20" ht="42" customHeight="1">
      <x:c r="A20" s="247" t="s">
        <x:v>29</x:v>
      </x:c>
      <x:c r="B20" s="235" t="s">
        <x:v>30</x:v>
      </x:c>
      <x:c r="C20" s="240" t="s">
        <x:v>2</x:v>
      </x:c>
      <x:c r="D20" s="240" t="s">
        <x:v>31</x:v>
      </x:c>
      <x:c r="E20" s="236" t="s">
        <x:v>4</x:v>
      </x:c>
      <x:c r="F20" s="237"/>
      <x:c r="G20" s="237" t="str">
        <x:v>Implemented</x:v>
      </x:c>
      <x:c r="H20" s="237" t="str">
        <x:v>Pending UAT</x:v>
      </x:c>
      <x:c r="I20" s="237" t="str">
        <x:v>Previously passed by HB; retain as a regression check after deployment.</x:v>
      </x:c>
    </x:row>
    <x:row r="21" ht="58" customHeight="1">
      <x:c r="A21" s="248"/>
      <x:c r="B21" s="235" t="s">
        <x:v>32</x:v>
      </x:c>
      <x:c r="C21" s="241" t="s">
        <x:v>33</x:v>
      </x:c>
      <x:c r="D21" s="240" t="s">
        <x:v>31</x:v>
      </x:c>
      <x:c r="E21" s="236" t="s">
        <x:v>6</x:v>
      </x:c>
      <x:c r="F21" s="237" t="s">
        <x:v>34</x:v>
      </x:c>
      <x:c r="G21" s="237" t="str">
        <x:v>Implemented</x:v>
      </x:c>
      <x:c r="H21" s="237" t="str">
        <x:v>Pending UAT</x:v>
      </x:c>
      <x:c r="I21" s="237" t="str">
        <x:v>Vehicle fuel-standard comparison and odometer/standard fields are included.</x:v>
      </x:c>
    </x:row>
    <x:row r="22" ht="58" customHeight="1">
      <x:c r="A22" s="248"/>
      <x:c r="B22" s="235" t="s">
        <x:v>35</x:v>
      </x:c>
      <x:c r="C22" s="240" t="s">
        <x:v>2</x:v>
      </x:c>
      <x:c r="D22" s="240" t="s">
        <x:v>31</x:v>
      </x:c>
      <x:c r="E22" s="236" t="s">
        <x:v>6</x:v>
      </x:c>
      <x:c r="F22" s="237" t="s">
        <x:v>36</x:v>
      </x:c>
      <x:c r="G22" s="237" t="str">
        <x:v>Implemented</x:v>
      </x:c>
      <x:c r="H22" s="237" t="str">
        <x:v>Pending UAT</x:v>
      </x:c>
      <x:c r="I22" s="237" t="str">
        <x:v>Fuel and maintenance requests are separated by document type, with complete fuel details.</x:v>
      </x:c>
    </x:row>
    <x:row r="23" ht="58" customHeight="1">
      <x:c r="A23" s="248"/>
      <x:c r="B23" s="235" t="s">
        <x:v>37</x:v>
      </x:c>
      <x:c r="C23" s="240" t="s">
        <x:v>2</x:v>
      </x:c>
      <x:c r="D23" s="240" t="s">
        <x:v>31</x:v>
      </x:c>
      <x:c r="E23" s="236" t="s">
        <x:v>6</x:v>
      </x:c>
      <x:c r="F23" s="237" t="s">
        <x:v>36</x:v>
      </x:c>
      <x:c r="G23" s="237" t="str">
        <x:v>Implemented</x:v>
      </x:c>
      <x:c r="H23" s="237" t="str">
        <x:v>Pending UAT</x:v>
      </x:c>
      <x:c r="I23" s="237" t="str">
        <x:v>Fuel approval mapping and full request details are included.</x:v>
      </x:c>
    </x:row>
    <x:row r="24" ht="58" customHeight="1">
      <x:c r="A24" s="248"/>
      <x:c r="B24" s="235" t="s">
        <x:v>38</x:v>
      </x:c>
      <x:c r="C24" s="240" t="s">
        <x:v>2</x:v>
      </x:c>
      <x:c r="D24" s="240" t="s">
        <x:v>31</x:v>
      </x:c>
      <x:c r="E24" s="236" t="s">
        <x:v>39</x:v>
      </x:c>
      <x:c r="F24" s="237" t="s">
        <x:v>36</x:v>
      </x:c>
      <x:c r="G24" s="237" t="str">
        <x:v>Implemented</x:v>
      </x:c>
      <x:c r="H24" s="237" t="str">
        <x:v>Pending UAT</x:v>
      </x:c>
      <x:c r="I24" s="237" t="str">
        <x:v>Pending fuel status, request type, and detail mapping are included.</x:v>
      </x:c>
    </x:row>
    <x:row r="25" ht="42" customHeight="1">
      <x:c r="A25" s="248"/>
      <x:c r="B25" s="235" t="s">
        <x:v>30</x:v>
      </x:c>
      <x:c r="C25" s="240" t="s">
        <x:v>2</x:v>
      </x:c>
      <x:c r="D25" s="240" t="s">
        <x:v>31</x:v>
      </x:c>
      <x:c r="E25" s="236" t="s">
        <x:v>4</x:v>
      </x:c>
      <x:c r="F25" s="237" t="s">
        <x:v>40</x:v>
      </x:c>
      <x:c r="G25" s="237" t="str">
        <x:v>Implemented</x:v>
      </x:c>
      <x:c r="H25" s="237" t="str">
        <x:v>Pending UAT</x:v>
      </x:c>
      <x:c r="I25" s="237" t="str">
        <x:v>Previously passed by HB; retain as a regression check after deployment.</x:v>
      </x:c>
    </x:row>
    <x:row r="26" ht="58" customHeight="1">
      <x:c r="A26" s="248"/>
      <x:c r="B26" s="235" t="s">
        <x:v>37</x:v>
      </x:c>
      <x:c r="C26" s="240" t="s">
        <x:v>2</x:v>
      </x:c>
      <x:c r="D26" s="240" t="s">
        <x:v>31</x:v>
      </x:c>
      <x:c r="E26" s="236" t="s">
        <x:v>6</x:v>
      </x:c>
      <x:c r="F26" s="237" t="s">
        <x:v>36</x:v>
      </x:c>
      <x:c r="G26" s="237" t="str">
        <x:v>Implemented</x:v>
      </x:c>
      <x:c r="H26" s="237" t="str">
        <x:v>Pending UAT</x:v>
      </x:c>
      <x:c r="I26" s="237" t="str">
        <x:v>Fuel approval mapping and full request details are included.</x:v>
      </x:c>
    </x:row>
    <x:row r="27" ht="42" customHeight="1">
      <x:c r="A27" s="247" t="s">
        <x:v>41</x:v>
      </x:c>
      <x:c r="B27" s="235" t="s">
        <x:v>42</x:v>
      </x:c>
      <x:c r="C27" s="240" t="s">
        <x:v>2</x:v>
      </x:c>
      <x:c r="D27" s="240" t="s">
        <x:v>3</x:v>
      </x:c>
      <x:c r="E27" s="236" t="s">
        <x:v>4</x:v>
      </x:c>
      <x:c r="F27" s="237"/>
      <x:c r="G27" s="237" t="str">
        <x:v>Implemented</x:v>
      </x:c>
      <x:c r="H27" s="237" t="str">
        <x:v>Pending UAT</x:v>
      </x:c>
      <x:c r="I27" s="237" t="str">
        <x:v>Previously passed by HB; retain as a regression check after deployment.</x:v>
      </x:c>
    </x:row>
    <x:row r="28" ht="58" customHeight="1">
      <x:c r="A28" s="248"/>
      <x:c r="B28" s="235" t="s">
        <x:v>43</x:v>
      </x:c>
      <x:c r="C28" s="240" t="s">
        <x:v>2</x:v>
      </x:c>
      <x:c r="D28" s="240" t="s">
        <x:v>3</x:v>
      </x:c>
      <x:c r="E28" s="236" t="s">
        <x:v>6</x:v>
      </x:c>
      <x:c r="F28" s="237" t="s">
        <x:v>44</x:v>
      </x:c>
      <x:c r="G28" s="237" t="str">
        <x:v>Implemented</x:v>
      </x:c>
      <x:c r="H28" s="237" t="str">
        <x:v>Pending UAT</x:v>
      </x:c>
      <x:c r="I28" s="237" t="str">
        <x:v>Field Transport is explicitly mapped and preserved when submitted for approval.</x:v>
      </x:c>
    </x:row>
    <x:row r="29" ht="42" customHeight="1">
      <x:c r="A29" s="248"/>
      <x:c r="B29" s="235" t="s">
        <x:v>45</x:v>
      </x:c>
      <x:c r="C29" s="240" t="s">
        <x:v>2</x:v>
      </x:c>
      <x:c r="D29" s="240" t="s">
        <x:v>3</x:v>
      </x:c>
      <x:c r="E29" s="236" t="s">
        <x:v>4</x:v>
      </x:c>
      <x:c r="F29" s="237"/>
      <x:c r="G29" s="237" t="str">
        <x:v>Implemented</x:v>
      </x:c>
      <x:c r="H29" s="237" t="str">
        <x:v>Pending UAT</x:v>
      </x:c>
      <x:c r="I29" s="237" t="str">
        <x:v>Previously passed by HB; retain as a regression check after deployment.</x:v>
      </x:c>
    </x:row>
    <x:row r="30" ht="58" customHeight="1">
      <x:c r="A30" s="248"/>
      <x:c r="B30" s="235" t="s">
        <x:v>46</x:v>
      </x:c>
      <x:c r="C30" s="240" t="s">
        <x:v>2</x:v>
      </x:c>
      <x:c r="D30" s="240" t="s">
        <x:v>3</x:v>
      </x:c>
      <x:c r="E30" s="236" t="s">
        <x:v>6</x:v>
      </x:c>
      <x:c r="F30" s="237" t="s">
        <x:v>44</x:v>
      </x:c>
      <x:c r="G30" s="237" t="str">
        <x:v>Implemented</x:v>
      </x:c>
      <x:c r="H30" s="237" t="str">
        <x:v>Pending UAT</x:v>
      </x:c>
      <x:c r="I30" s="237" t="str">
        <x:v>Approval details preserve City versus Field Transport request type.</x:v>
      </x:c>
    </x:row>
    <x:row r="31" ht="42" customHeight="1">
      <x:c r="A31" s="248"/>
      <x:c r="B31" s="235" t="s">
        <x:v>47</x:v>
      </x:c>
      <x:c r="C31" s="240" t="s">
        <x:v>2</x:v>
      </x:c>
      <x:c r="D31" s="240" t="s">
        <x:v>3</x:v>
      </x:c>
      <x:c r="E31" s="236" t="s">
        <x:v>4</x:v>
      </x:c>
      <x:c r="F31" s="237"/>
      <x:c r="G31" s="237" t="str">
        <x:v>Implemented</x:v>
      </x:c>
      <x:c r="H31" s="237" t="str">
        <x:v>Pending UAT</x:v>
      </x:c>
      <x:c r="I31" s="237" t="str">
        <x:v>Previously passed by HB; retain as a regression check after deployment.</x:v>
      </x:c>
    </x:row>
    <x:row r="32" ht="42" customHeight="1">
      <x:c r="A32" s="248"/>
      <x:c r="B32" s="235" t="s">
        <x:v>48</x:v>
      </x:c>
      <x:c r="C32" s="241" t="s">
        <x:v>33</x:v>
      </x:c>
      <x:c r="D32" s="240" t="s">
        <x:v>3</x:v>
      </x:c>
      <x:c r="E32" s="236" t="s">
        <x:v>4</x:v>
      </x:c>
      <x:c r="F32" s="237" t="s">
        <x:v>49</x:v>
      </x:c>
      <x:c r="G32" s="237" t="str">
        <x:v>Implemented</x:v>
      </x:c>
      <x:c r="H32" s="237" t="str">
        <x:v>Pending UAT</x:v>
      </x:c>
      <x:c r="I32" s="237" t="str">
        <x:v>Previously passed by HB; retain as a regression check after deployment.</x:v>
      </x:c>
    </x:row>
    <x:row r="33" ht="42" customHeight="1">
      <x:c r="A33" s="248"/>
      <x:c r="B33" s="235" t="s">
        <x:v>50</x:v>
      </x:c>
      <x:c r="C33" s="240" t="s">
        <x:v>2</x:v>
      </x:c>
      <x:c r="D33" s="240" t="s">
        <x:v>3</x:v>
      </x:c>
      <x:c r="E33" s="236" t="s">
        <x:v>4</x:v>
      </x:c>
      <x:c r="F33" s="237"/>
      <x:c r="G33" s="237" t="str">
        <x:v>Implemented</x:v>
      </x:c>
      <x:c r="H33" s="237" t="str">
        <x:v>Pending UAT</x:v>
      </x:c>
      <x:c r="I33" s="237" t="str">
        <x:v>Previously passed by HB; retain as a regression check after deployment.</x:v>
      </x:c>
    </x:row>
    <x:row r="34" ht="58" customHeight="1">
      <x:c r="A34" s="248"/>
      <x:c r="B34" s="235" t="s">
        <x:v>51</x:v>
      </x:c>
      <x:c r="C34" s="240" t="s">
        <x:v>52</x:v>
      </x:c>
      <x:c r="D34" s="240" t="s">
        <x:v>3</x:v>
      </x:c>
      <x:c r="E34" s="236" t="s">
        <x:v>6</x:v>
      </x:c>
      <x:c r="F34" s="237" t="s">
        <x:v>53</x:v>
      </x:c>
      <x:c r="G34" s="237" t="str">
        <x:v>Implemented</x:v>
      </x:c>
      <x:c r="H34" s="237" t="str">
        <x:v>Pending UAT</x:v>
      </x:c>
      <x:c r="I34" s="237" t="str">
        <x:v>Duplicate vehicle/trip validation is included in the Business Central-connected flow.</x:v>
      </x:c>
    </x:row>
    <x:row r="35" ht="42" customHeight="1">
      <x:c r="A35" s="247" t="s">
        <x:v>54</x:v>
      </x:c>
      <x:c r="B35" s="235" t="s">
        <x:v>55</x:v>
      </x:c>
      <x:c r="C35" s="240" t="s">
        <x:v>56</x:v>
      </x:c>
      <x:c r="D35" s="240" t="s">
        <x:v>31</x:v>
      </x:c>
      <x:c r="E35" s="236" t="s">
        <x:v>6</x:v>
      </x:c>
      <x:c r="F35" s="237" t="s">
        <x:v>57</x:v>
      </x:c>
      <x:c r="G35" s="237" t="str">
        <x:v>Out Of Scope</x:v>
      </x:c>
      <x:c r="H35" s="237" t="str">
        <x:v>N/A</x:v>
      </x:c>
      <x:c r="I35" s="237" t="str">
        <x:v>Excluded from the agreed UAT scope; no SSP portal template or test execution is required.</x:v>
      </x:c>
    </x:row>
    <x:row r="36" ht="42" customHeight="1">
      <x:c r="A36" s="248"/>
      <x:c r="B36" s="235" t="s">
        <x:v>58</x:v>
      </x:c>
      <x:c r="C36" s="240" t="s">
        <x:v>56</x:v>
      </x:c>
      <x:c r="D36" s="240" t="s">
        <x:v>31</x:v>
      </x:c>
      <x:c r="E36" s="236" t="s">
        <x:v>6</x:v>
      </x:c>
      <x:c r="F36" s="237" t="s">
        <x:v>57</x:v>
      </x:c>
      <x:c r="G36" s="237" t="str">
        <x:v>Out Of Scope</x:v>
      </x:c>
      <x:c r="H36" s="237" t="str">
        <x:v>N/A</x:v>
      </x:c>
      <x:c r="I36" s="237" t="str">
        <x:v>Excluded from the agreed UAT scope; no SSP portal template or test execution is required.</x:v>
      </x:c>
    </x:row>
    <x:row r="37" ht="42" customHeight="1">
      <x:c r="A37" s="248"/>
      <x:c r="B37" s="235" t="s">
        <x:v>13</x:v>
      </x:c>
      <x:c r="C37" s="240" t="s">
        <x:v>56</x:v>
      </x:c>
      <x:c r="D37" s="240" t="s">
        <x:v>31</x:v>
      </x:c>
      <x:c r="E37" s="236" t="s">
        <x:v>6</x:v>
      </x:c>
      <x:c r="F37" s="237" t="s">
        <x:v>57</x:v>
      </x:c>
      <x:c r="G37" s="237" t="str">
        <x:v>Out Of Scope</x:v>
      </x:c>
      <x:c r="H37" s="237" t="str">
        <x:v>N/A</x:v>
      </x:c>
      <x:c r="I37" s="237" t="str">
        <x:v>Excluded from the agreed UAT scope; no SSP portal template or test execution is required.</x:v>
      </x:c>
    </x:row>
    <x:row r="38" ht="42" customHeight="1">
      <x:c r="A38" s="248"/>
      <x:c r="B38" s="235" t="s">
        <x:v>59</x:v>
      </x:c>
      <x:c r="C38" s="240" t="s">
        <x:v>56</x:v>
      </x:c>
      <x:c r="D38" s="240" t="s">
        <x:v>31</x:v>
      </x:c>
      <x:c r="E38" s="236" t="s">
        <x:v>6</x:v>
      </x:c>
      <x:c r="F38" s="237" t="s">
        <x:v>57</x:v>
      </x:c>
      <x:c r="G38" s="237" t="str">
        <x:v>Out Of Scope</x:v>
      </x:c>
      <x:c r="H38" s="237" t="str">
        <x:v>N/A</x:v>
      </x:c>
      <x:c r="I38" s="237" t="str">
        <x:v>Excluded from the agreed UAT scope; no SSP portal template or test execution is required.</x:v>
      </x:c>
    </x:row>
    <x:row r="39" ht="42" customHeight="1">
      <x:c r="A39" s="248"/>
      <x:c r="B39" s="235" t="s">
        <x:v>60</x:v>
      </x:c>
      <x:c r="C39" s="240" t="s">
        <x:v>56</x:v>
      </x:c>
      <x:c r="D39" s="240" t="s">
        <x:v>31</x:v>
      </x:c>
      <x:c r="E39" s="236" t="s">
        <x:v>6</x:v>
      </x:c>
      <x:c r="F39" s="237" t="s">
        <x:v>57</x:v>
      </x:c>
      <x:c r="G39" s="237" t="str">
        <x:v>Out Of Scope</x:v>
      </x:c>
      <x:c r="H39" s="237" t="str">
        <x:v>N/A</x:v>
      </x:c>
      <x:c r="I39" s="237" t="str">
        <x:v>Excluded from the agreed UAT scope; no SSP portal template or test execution is required.</x:v>
      </x:c>
    </x:row>
    <x:row r="40" ht="42" customHeight="1">
      <x:c r="A40" s="248"/>
      <x:c r="B40" s="235" t="s">
        <x:v>61</x:v>
      </x:c>
      <x:c r="C40" s="240" t="s">
        <x:v>56</x:v>
      </x:c>
      <x:c r="D40" s="240" t="s">
        <x:v>31</x:v>
      </x:c>
      <x:c r="E40" s="236" t="s">
        <x:v>6</x:v>
      </x:c>
      <x:c r="F40" s="237" t="s">
        <x:v>57</x:v>
      </x:c>
      <x:c r="G40" s="237" t="str">
        <x:v>Out Of Scope</x:v>
      </x:c>
      <x:c r="H40" s="237" t="str">
        <x:v>N/A</x:v>
      </x:c>
      <x:c r="I40" s="237" t="str">
        <x:v>Excluded from the agreed UAT scope; no SSP portal template or test execution is required.</x:v>
      </x:c>
    </x:row>
    <x:row r="41" ht="42" customHeight="1">
      <x:c r="A41" s="248"/>
      <x:c r="B41" s="235" t="s">
        <x:v>62</x:v>
      </x:c>
      <x:c r="C41" s="240" t="s">
        <x:v>56</x:v>
      </x:c>
      <x:c r="D41" s="240" t="s">
        <x:v>31</x:v>
      </x:c>
      <x:c r="E41" s="236" t="s">
        <x:v>6</x:v>
      </x:c>
      <x:c r="F41" s="237" t="s">
        <x:v>57</x:v>
      </x:c>
      <x:c r="G41" s="237" t="str">
        <x:v>Out Of Scope</x:v>
      </x:c>
      <x:c r="H41" s="237" t="str">
        <x:v>N/A</x:v>
      </x:c>
      <x:c r="I41" s="237" t="str">
        <x:v>Excluded from the agreed UAT scope; no SSP portal template or test execution is required.</x:v>
      </x:c>
    </x:row>
    <x:row r="42" ht="42" customHeight="1">
      <x:c r="A42" s="248"/>
      <x:c r="B42" s="235" t="s">
        <x:v>63</x:v>
      </x:c>
      <x:c r="C42" s="240" t="s">
        <x:v>56</x:v>
      </x:c>
      <x:c r="D42" s="240" t="s">
        <x:v>31</x:v>
      </x:c>
      <x:c r="E42" s="236" t="s">
        <x:v>6</x:v>
      </x:c>
      <x:c r="F42" s="237" t="s">
        <x:v>57</x:v>
      </x:c>
      <x:c r="G42" s="237" t="str">
        <x:v>Out Of Scope</x:v>
      </x:c>
      <x:c r="H42" s="237" t="str">
        <x:v>N/A</x:v>
      </x:c>
      <x:c r="I42" s="237" t="str">
        <x:v>Excluded from the agreed UAT scope; no SSP portal template or test execution is required.</x:v>
      </x:c>
    </x:row>
    <x:row r="43" ht="42" customHeight="1">
      <x:c r="A43" s="248"/>
      <x:c r="B43" s="235" t="s">
        <x:v>64</x:v>
      </x:c>
      <x:c r="C43" s="240" t="s">
        <x:v>56</x:v>
      </x:c>
      <x:c r="D43" s="240" t="s">
        <x:v>31</x:v>
      </x:c>
      <x:c r="E43" s="236" t="s">
        <x:v>6</x:v>
      </x:c>
      <x:c r="F43" s="237" t="s">
        <x:v>57</x:v>
      </x:c>
      <x:c r="G43" s="237" t="str">
        <x:v>Out Of Scope</x:v>
      </x:c>
      <x:c r="H43" s="237" t="str">
        <x:v>N/A</x:v>
      </x:c>
      <x:c r="I43" s="237" t="str">
        <x:v>Excluded from the agreed UAT scope; no SSP portal template or test execution is required.</x:v>
      </x:c>
    </x:row>
    <x:row r="44" ht="42" customHeight="1">
      <x:c r="A44" s="248"/>
      <x:c r="B44" s="235" t="s">
        <x:v>65</x:v>
      </x:c>
      <x:c r="C44" s="240" t="s">
        <x:v>56</x:v>
      </x:c>
      <x:c r="D44" s="240" t="s">
        <x:v>31</x:v>
      </x:c>
      <x:c r="E44" s="236" t="s">
        <x:v>6</x:v>
      </x:c>
      <x:c r="F44" s="237" t="s">
        <x:v>57</x:v>
      </x:c>
      <x:c r="G44" s="237" t="str">
        <x:v>Out Of Scope</x:v>
      </x:c>
      <x:c r="H44" s="237" t="str">
        <x:v>N/A</x:v>
      </x:c>
      <x:c r="I44" s="237" t="str">
        <x:v>Excluded from the agreed UAT scope; no SSP portal template or test execution is required.</x:v>
      </x:c>
    </x:row>
    <x:row r="45" ht="42" customHeight="1">
      <x:c r="A45" s="247" t="s">
        <x:v>66</x:v>
      </x:c>
      <x:c r="B45" s="235" t="s">
        <x:v>67</x:v>
      </x:c>
      <x:c r="C45" s="239" t="s">
        <x:v>56</x:v>
      </x:c>
      <x:c r="D45" s="239" t="s">
        <x:v>3</x:v>
      </x:c>
      <x:c r="E45" s="236" t="s">
        <x:v>6</x:v>
      </x:c>
      <x:c r="F45" s="237" t="s">
        <x:v>68</x:v>
      </x:c>
      <x:c r="G45" s="237" t="str">
        <x:v>Out Of Scope</x:v>
      </x:c>
      <x:c r="H45" s="237" t="str">
        <x:v>N/A</x:v>
      </x:c>
      <x:c r="I45" s="237" t="str">
        <x:v>Excluded from the agreed UAT scope; no SSP portal template or test execution is required.</x:v>
      </x:c>
    </x:row>
    <x:row r="46" ht="42" customHeight="1">
      <x:c r="A46" s="248"/>
      <x:c r="B46" s="235" t="s">
        <x:v>69</x:v>
      </x:c>
      <x:c r="C46" s="239" t="s">
        <x:v>56</x:v>
      </x:c>
      <x:c r="D46" s="239" t="s">
        <x:v>3</x:v>
      </x:c>
      <x:c r="E46" s="236" t="s">
        <x:v>6</x:v>
      </x:c>
      <x:c r="F46" s="237" t="s">
        <x:v>68</x:v>
      </x:c>
      <x:c r="G46" s="237" t="str">
        <x:v>Out Of Scope</x:v>
      </x:c>
      <x:c r="H46" s="237" t="str">
        <x:v>N/A</x:v>
      </x:c>
      <x:c r="I46" s="237" t="str">
        <x:v>Excluded from the agreed UAT scope; no SSP portal template or test execution is required.</x:v>
      </x:c>
    </x:row>
    <x:row r="47" ht="42" customHeight="1">
      <x:c r="A47" s="248"/>
      <x:c r="B47" s="235" t="s">
        <x:v>70</x:v>
      </x:c>
      <x:c r="C47" s="239" t="s">
        <x:v>56</x:v>
      </x:c>
      <x:c r="D47" s="239" t="s">
        <x:v>3</x:v>
      </x:c>
      <x:c r="E47" s="236" t="s">
        <x:v>6</x:v>
      </x:c>
      <x:c r="F47" s="237" t="s">
        <x:v>68</x:v>
      </x:c>
      <x:c r="G47" s="237" t="str">
        <x:v>Out Of Scope</x:v>
      </x:c>
      <x:c r="H47" s="237" t="str">
        <x:v>N/A</x:v>
      </x:c>
      <x:c r="I47" s="237" t="str">
        <x:v>Excluded from the agreed UAT scope; no SSP portal template or test execution is required.</x:v>
      </x:c>
    </x:row>
    <x:row r="48" ht="42" customHeight="1">
      <x:c r="A48" s="248"/>
      <x:c r="B48" s="235" t="s">
        <x:v>71</x:v>
      </x:c>
      <x:c r="C48" s="239" t="s">
        <x:v>56</x:v>
      </x:c>
      <x:c r="D48" s="239" t="s">
        <x:v>3</x:v>
      </x:c>
      <x:c r="E48" s="236" t="s">
        <x:v>6</x:v>
      </x:c>
      <x:c r="F48" s="237" t="s">
        <x:v>68</x:v>
      </x:c>
      <x:c r="G48" s="237" t="str">
        <x:v>Out Of Scope</x:v>
      </x:c>
      <x:c r="H48" s="237" t="str">
        <x:v>N/A</x:v>
      </x:c>
      <x:c r="I48" s="237" t="str">
        <x:v>Excluded from the agreed UAT scope; no SSP portal template or test execution is required.</x:v>
      </x:c>
    </x:row>
    <x:row r="49" ht="58" customHeight="1">
      <x:c r="A49" s="247" t="s">
        <x:v>72</x:v>
      </x:c>
      <x:c r="B49" s="235" t="s">
        <x:v>73</x:v>
      </x:c>
      <x:c r="C49" s="240" t="s">
        <x:v>2</x:v>
      </x:c>
      <x:c r="D49" s="239" t="s">
        <x:v>3</x:v>
      </x:c>
      <x:c r="E49" s="236" t="s">
        <x:v>6</x:v>
      </x:c>
      <x:c r="F49" s="237" t="s">
        <x:v>74</x:v>
      </x:c>
      <x:c r="G49" s="237" t="str">
        <x:v>Implemented</x:v>
      </x:c>
      <x:c r="H49" s="237" t="str">
        <x:v>Pending UAT</x:v>
      </x:c>
      <x:c r="I49" s="237" t="str">
        <x:v>A separate Asset Transfer module is included; this is not the Transfer Order workflow.</x:v>
      </x:c>
    </x:row>
    <x:row r="50" ht="58" customHeight="1">
      <x:c r="A50" s="248"/>
      <x:c r="B50" s="235" t="s">
        <x:v>75</x:v>
      </x:c>
      <x:c r="C50" s="240" t="s">
        <x:v>2</x:v>
      </x:c>
      <x:c r="D50" s="239" t="s">
        <x:v>3</x:v>
      </x:c>
      <x:c r="E50" s="236" t="s">
        <x:v>6</x:v>
      </x:c>
      <x:c r="F50" s="237" t="s">
        <x:v>74</x:v>
      </x:c>
      <x:c r="G50" s="237" t="str">
        <x:v>Implemented</x:v>
      </x:c>
      <x:c r="H50" s="237" t="str">
        <x:v>Pending UAT</x:v>
      </x:c>
      <x:c r="I50" s="237" t="str">
        <x:v>Vehicle/tool handover approval mapping is included.</x:v>
      </x:c>
    </x:row>
    <x:row r="51" ht="58" customHeight="1">
      <x:c r="A51" s="248"/>
      <x:c r="B51" s="235" t="s">
        <x:v>76</x:v>
      </x:c>
      <x:c r="C51" s="240" t="s">
        <x:v>2</x:v>
      </x:c>
      <x:c r="D51" s="239" t="s">
        <x:v>3</x:v>
      </x:c>
      <x:c r="E51" s="236" t="s">
        <x:v>6</x:v>
      </x:c>
      <x:c r="F51" s="237" t="s">
        <x:v>74</x:v>
      </x:c>
      <x:c r="G51" s="237" t="str">
        <x:v>Implemented</x:v>
      </x:c>
      <x:c r="H51" s="237" t="str">
        <x:v>Pending UAT</x:v>
      </x:c>
      <x:c r="I51" s="237" t="str">
        <x:v>Temporary transfer includes employee, transfer type, and expiry fields.</x:v>
      </x:c>
    </x:row>
    <x:row r="52" ht="58" customHeight="1">
      <x:c r="A52" s="248"/>
      <x:c r="B52" s="235" t="s">
        <x:v>77</x:v>
      </x:c>
      <x:c r="C52" s="240" t="s">
        <x:v>2</x:v>
      </x:c>
      <x:c r="D52" s="239" t="s">
        <x:v>3</x:v>
      </x:c>
      <x:c r="E52" s="236" t="s">
        <x:v>6</x:v>
      </x:c>
      <x:c r="F52" s="237" t="s">
        <x:v>74</x:v>
      </x:c>
      <x:c r="G52" s="237" t="str">
        <x:v>Implemented</x:v>
      </x:c>
      <x:c r="H52" s="237" t="str">
        <x:v>Pending UAT</x:v>
      </x:c>
      <x:c r="I52" s="237" t="str">
        <x:v>Temporary Asset Transfer approval workflow is included.</x:v>
      </x:c>
    </x:row>
    <x:row r="53" ht="58" customHeight="1">
      <x:c r="A53" s="248"/>
      <x:c r="B53" s="235" t="s">
        <x:v>78</x:v>
      </x:c>
      <x:c r="C53" s="240" t="s">
        <x:v>2</x:v>
      </x:c>
      <x:c r="D53" s="239" t="s">
        <x:v>3</x:v>
      </x:c>
      <x:c r="E53" s="236" t="s">
        <x:v>6</x:v>
      </x:c>
      <x:c r="F53" s="237" t="s">
        <x:v>74</x:v>
      </x:c>
      <x:c r="G53" s="237" t="str">
        <x:v>Implemented</x:v>
      </x:c>
      <x:c r="H53" s="237" t="str">
        <x:v>Pending UAT</x:v>
      </x:c>
      <x:c r="I53" s="237" t="str">
        <x:v>Temporary Asset Transfer cancellation is included.</x:v>
      </x:c>
    </x:row>
    <x:row r="54" ht="58" customHeight="1">
      <x:c r="A54" s="248"/>
      <x:c r="B54" s="235" t="s">
        <x:v>79</x:v>
      </x:c>
      <x:c r="C54" s="240" t="s">
        <x:v>2</x:v>
      </x:c>
      <x:c r="D54" s="239" t="s">
        <x:v>3</x:v>
      </x:c>
      <x:c r="E54" s="236" t="s">
        <x:v>6</x:v>
      </x:c>
      <x:c r="F54" s="237" t="s">
        <x:v>74</x:v>
      </x:c>
      <x:c r="G54" s="237" t="str">
        <x:v>Implemented</x:v>
      </x:c>
      <x:c r="H54" s="237" t="str">
        <x:v>Pending UAT</x:v>
      </x:c>
      <x:c r="I54" s="237" t="str">
        <x:v>Approved-only Asset Transfer posting is included end to end.</x:v>
      </x:c>
    </x:row>
    <x:row r="55" ht="58" customHeight="1">
      <x:c r="A55" s="247" t="s">
        <x:v>80</x:v>
      </x:c>
      <x:c r="B55" s="235" t="s">
        <x:v>81</x:v>
      </x:c>
      <x:c r="C55" s="240" t="s">
        <x:v>2</x:v>
      </x:c>
      <x:c r="D55" s="239" t="s">
        <x:v>3</x:v>
      </x:c>
      <x:c r="E55" s="236" t="s">
        <x:v>6</x:v>
      </x:c>
      <x:c r="F55" s="237" t="s">
        <x:v>82</x:v>
      </x:c>
      <x:c r="G55" s="237" t="str">
        <x:v>Implemented</x:v>
      </x:c>
      <x:c r="H55" s="237" t="str">
        <x:v>Pending UAT</x:v>
      </x:c>
      <x:c r="I55" s="237" t="str">
        <x:v>Gate Pass source selection and Store/Transfer/Asset reference integration are included.</x:v>
      </x:c>
    </x:row>
    <x:row r="56" ht="58" customHeight="1">
      <x:c r="A56" s="248"/>
      <x:c r="B56" s="235" t="s">
        <x:v>83</x:v>
      </x:c>
      <x:c r="C56" s="240" t="s">
        <x:v>2</x:v>
      </x:c>
      <x:c r="D56" s="239" t="s">
        <x:v>3</x:v>
      </x:c>
      <x:c r="E56" s="236" t="s">
        <x:v>6</x:v>
      </x:c>
      <x:c r="F56" s="237" t="s">
        <x:v>82</x:v>
      </x:c>
      <x:c r="G56" s="237" t="str">
        <x:v>Implemented</x:v>
      </x:c>
      <x:c r="H56" s="237" t="str">
        <x:v>Pending UAT</x:v>
      </x:c>
      <x:c r="I56" s="237" t="str">
        <x:v>Gate Pass approval retains the linked source document reference.</x:v>
      </x:c>
    </x:row>
    <x:row r="57" ht="58" customHeight="1">
      <x:c r="A57" s="248"/>
      <x:c r="B57" s="235" t="s">
        <x:v>84</x:v>
      </x:c>
      <x:c r="C57" s="240" t="s">
        <x:v>2</x:v>
      </x:c>
      <x:c r="D57" s="239" t="s">
        <x:v>3</x:v>
      </x:c>
      <x:c r="E57" s="236" t="s">
        <x:v>6</x:v>
      </x:c>
      <x:c r="F57" s="237" t="s">
        <x:v>82</x:v>
      </x:c>
      <x:c r="G57" s="237" t="str">
        <x:v>Implemented</x:v>
      </x:c>
      <x:c r="H57" s="237" t="str">
        <x:v>Pending UAT</x:v>
      </x:c>
      <x:c r="I57" s="237" t="str">
        <x:v>Gate Pass rejection retains the linked source document reference.</x:v>
      </x:c>
    </x:row>
    <x:row r="58" ht="58" customHeight="1">
      <x:c r="A58" s="248"/>
      <x:c r="B58" s="235" t="s">
        <x:v>85</x:v>
      </x:c>
      <x:c r="C58" s="240" t="s">
        <x:v>15</x:v>
      </x:c>
      <x:c r="D58" s="239" t="s">
        <x:v>3</x:v>
      </x:c>
      <x:c r="E58" s="236" t="s">
        <x:v>6</x:v>
      </x:c>
      <x:c r="F58" s="237" t="s">
        <x:v>82</x:v>
      </x:c>
      <x:c r="G58" s="237" t="str">
        <x:v>Implemented — ERP report</x:v>
      </x:c>
      <x:c r="H58" s="237" t="str">
        <x:v>Pending UAT</x:v>
      </x:c>
      <x:c r="I58" s="237" t="str">
        <x:v>The portal Gate Pass log view is included; the formal printable report remains an ERP output.</x:v>
      </x:c>
    </x:row>
    <x:row r="59" ht="42" customHeight="1">
      <x:c r="A59" s="249" t="s">
        <x:v>86</x:v>
      </x:c>
      <x:c r="B59" s="235" t="s">
        <x:v>87</x:v>
      </x:c>
      <x:c r="C59" s="240" t="s">
        <x:v>56</x:v>
      </x:c>
      <x:c r="D59" s="240" t="s">
        <x:v>31</x:v>
      </x:c>
      <x:c r="E59" s="236" t="s">
        <x:v>6</x:v>
      </x:c>
      <x:c r="F59" s="237" t="s">
        <x:v>57</x:v>
      </x:c>
      <x:c r="G59" s="237" t="str">
        <x:v>Out Of Scope</x:v>
      </x:c>
      <x:c r="H59" s="237" t="str">
        <x:v>N/A</x:v>
      </x:c>
      <x:c r="I59" s="237" t="str">
        <x:v>Excluded from the agreed UAT scope; no SSP portal template or test execution is required.</x:v>
      </x:c>
    </x:row>
    <x:row r="60" ht="42" customHeight="1">
      <x:c r="A60" s="248"/>
      <x:c r="B60" s="235" t="s">
        <x:v>88</x:v>
      </x:c>
      <x:c r="C60" s="240" t="s">
        <x:v>56</x:v>
      </x:c>
      <x:c r="D60" s="240" t="s">
        <x:v>31</x:v>
      </x:c>
      <x:c r="E60" s="236" t="s">
        <x:v>6</x:v>
      </x:c>
      <x:c r="F60" s="237" t="s">
        <x:v>57</x:v>
      </x:c>
      <x:c r="G60" s="237" t="str">
        <x:v>Out Of Scope</x:v>
      </x:c>
      <x:c r="H60" s="237" t="str">
        <x:v>N/A</x:v>
      </x:c>
      <x:c r="I60" s="237" t="str">
        <x:v>Excluded from the agreed UAT scope; no SSP portal template or test execution is required.</x:v>
      </x:c>
    </x:row>
    <x:row r="61" ht="42" customHeight="1">
      <x:c r="A61" s="248"/>
      <x:c r="B61" s="235" t="s">
        <x:v>89</x:v>
      </x:c>
      <x:c r="C61" s="240" t="s">
        <x:v>56</x:v>
      </x:c>
      <x:c r="D61" s="240" t="s">
        <x:v>31</x:v>
      </x:c>
      <x:c r="E61" s="236" t="s">
        <x:v>6</x:v>
      </x:c>
      <x:c r="F61" s="237" t="s">
        <x:v>57</x:v>
      </x:c>
      <x:c r="G61" s="237" t="str">
        <x:v>Out Of Scope</x:v>
      </x:c>
      <x:c r="H61" s="237" t="str">
        <x:v>N/A</x:v>
      </x:c>
      <x:c r="I61" s="237" t="str">
        <x:v>Excluded from the agreed UAT scope; no SSP portal template or test execution is required.</x:v>
      </x:c>
    </x:row>
    <x:row r="62">
      <x:c r="A62" s="8"/>
      <x:c r="B62" s="3"/>
      <x:c r="C62" s="5"/>
      <x:c r="D62" s="69"/>
      <x:c r="E62" s="38"/>
      <x:c r="F62"/>
    </x:row>
    <x:row r="63" ht="15">
      <x:c r="A63" s="8"/>
      <x:c r="B63" s="3"/>
      <x:c r="C63" s="5"/>
      <x:c r="D63" s="6"/>
      <x:c r="E63" s="5"/>
    </x:row>
    <x:row r="64" ht="15">
      <x:c r="A64" s="9" t="s">
        <x:v>90</x:v>
      </x:c>
      <x:c r="B64" s="9" t="s">
        <x:v>91</x:v>
      </x:c>
      <x:c r="C64" s="9" t="s">
        <x:v>92</x:v>
      </x:c>
      <x:c r="D64" s="9"/>
      <x:c r="E64" s="10"/>
    </x:row>
    <x:row r="65" ht="15">
      <x:c r="A65" s="11" t="s">
        <x:v>93</x:v>
      </x:c>
      <x:c r="B65" s="12">
        <x:v>59</x:v>
      </x:c>
      <x:c r="C65" s="13">
        <x:v>1</x:v>
      </x:c>
      <x:c r="D65" s="13"/>
      <x:c r="E65" s="10"/>
    </x:row>
    <x:row r="66" ht="15">
      <x:c r="A66" s="11" t="s">
        <x:v>94</x:v>
      </x:c>
      <x:c r="B66" s="12" t="n">
        <x:f>COUNTIF(C3:C61,"Implemented")</x:f>
        <x:v>36</x:v>
      </x:c>
      <x:c r="C66" s="13">
        <x:v>0.63</x:v>
      </x:c>
      <x:c r="D66" s="13"/>
      <x:c r="E66" s="10"/>
    </x:row>
    <x:row r="67" ht="15">
      <x:c r="A67" s="11" t="s">
        <x:v>95</x:v>
      </x:c>
      <x:c r="B67" s="12">
        <x:v>22</x:v>
      </x:c>
      <x:c r="C67" s="13">
        <x:v>0.37</x:v>
      </x:c>
      <x:c r="D67" s="13"/>
      <x:c r="E67" s="10"/>
    </x:row>
    <x:row r="69" ht="15.75" customHeight="1">
      <x:c r="A69" s="48" t="s">
        <x:v>96</x:v>
      </x:c>
    </x:row>
    <x:row r="70" ht="15.75" customHeight="1">
      <x:c r="A70" s="9" t="s">
        <x:v>90</x:v>
      </x:c>
      <x:c r="B70" s="9" t="s">
        <x:v>91</x:v>
      </x:c>
      <x:c r="C70" s="9" t="s">
        <x:v>92</x:v>
      </x:c>
      <x:c r="D70" s="71"/>
    </x:row>
    <x:row r="71" ht="15.75" customHeight="1">
      <x:c r="A71" s="11" t="s">
        <x:v>93</x:v>
      </x:c>
      <x:c r="B71" s="12">
        <x:v>59</x:v>
      </x:c>
      <x:c r="C71" s="13">
        <x:v>1</x:v>
      </x:c>
      <x:c r="D71" s="72"/>
    </x:row>
    <x:row r="72" ht="15.75" customHeight="1">
      <x:c r="A72" s="11" t="s">
        <x:v>97</x:v>
      </x:c>
      <x:c r="B72" s="12">
        <x:v>20</x:v>
      </x:c>
      <x:c r="C72" s="13" t="n">
        <x:f>+B72/B71</x:f>
        <x:v>0.3389830508474576</x:v>
      </x:c>
      <x:c r="D72" s="72"/>
    </x:row>
    <x:row r="73" ht="15.75" customHeight="1">
      <x:c r="A73" s="11" t="s">
        <x:v>98</x:v>
      </x:c>
      <x:c r="B73" s="12">
        <x:v>39</x:v>
      </x:c>
      <x:c r="C73" s="13" t="n">
        <x:f>+B73/B71</x:f>
        <x:v>0.6610169491525424</x:v>
      </x:c>
      <x:c r="D73" s="72"/>
    </x:row>
    <x:row r="75">
      <x:c r="A75" s="252" t="str">
        <x:v>FACILITY UAT DOCUMENTATION STATUS AS OF 28 JULY 2026</x:v>
      </x:c>
      <x:c r="B75" s="85"/>
      <x:c r="C75" s="85"/>
      <x:c r="D75" s="85"/>
      <x:c r="E75" s="85"/>
      <x:c r="F75" s="85"/>
      <x:c r="G75" s="85"/>
      <x:c r="H75" s="85"/>
      <x:c r="I75" s="87"/>
    </x:row>
    <x:row r="76">
      <x:c r="A76" s="255" t="str">
        <x:v>Measure</x:v>
      </x:c>
      <x:c r="B76" s="255" t="str">
        <x:v>Cases</x:v>
      </x:c>
      <x:c r="C76" s="255" t="str">
        <x:v>Percentage / Status</x:v>
      </x:c>
    </x:row>
    <x:row r="77" ht="30" customHeight="1">
      <x:c r="A77" s="260" t="str">
        <x:v>Total test cases</x:v>
      </x:c>
      <x:c r="B77" s="261" t="n">
        <x:f>COUNTA(B3:B61)</x:f>
        <x:v>59</x:v>
      </x:c>
      <x:c r="C77" s="262" t="n">
        <x:f>IF(B77=0,0,B77/B77)</x:f>
        <x:v>1</x:v>
      </x:c>
    </x:row>
    <x:row r="78" ht="30" customHeight="1">
      <x:c r="A78" s="260" t="str">
        <x:v>In-scope test cases</x:v>
      </x:c>
      <x:c r="B78" s="261" t="n">
        <x:f>COUNTIF(G3:G61,"Implemented")+COUNTIF(G3:G61,"Implemented — ERP report")</x:f>
        <x:v>42</x:v>
      </x:c>
      <x:c r="C78" s="262" t="n">
        <x:f>IF(B77=0,0,B78/B77)</x:f>
        <x:v>0.711864406779661</x:v>
      </x:c>
    </x:row>
    <x:row r="79" ht="30" customHeight="1">
      <x:c r="A79" s="260" t="str">
        <x:v>Implemented and locally verified</x:v>
      </x:c>
      <x:c r="B79" s="261" t="n">
        <x:f>COUNTIF(G3:G61,"Implemented")+COUNTIF(G3:G61,"Implemented — ERP report")</x:f>
        <x:v>42</x:v>
      </x:c>
      <x:c r="C79" s="262" t="n">
        <x:f>IF(B78=0,0,B79/B78)</x:f>
        <x:v>1</x:v>
      </x:c>
    </x:row>
    <x:row r="80" ht="30" customHeight="1">
      <x:c r="A80" s="260" t="str">
        <x:v>Out Of Scope — excluded</x:v>
      </x:c>
      <x:c r="B80" s="261" t="n">
        <x:f>COUNTIF(G3:G61,"Out Of Scope")</x:f>
        <x:v>17</x:v>
      </x:c>
      <x:c r="C80" s="262" t="n">
        <x:f>IF(B77=0,0,B80/B77)</x:f>
        <x:v>0.288135593220339</x:v>
      </x:c>
    </x:row>
    <x:row r="81" ht="30" customHeight="1">
      <x:c r="A81" s="260" t="str">
        <x:v>Pending live UAT after deployment</x:v>
      </x:c>
      <x:c r="B81" s="261" t="n">
        <x:f>COUNTIF(H3:H61,"Pending UAT")</x:f>
        <x:v>42</x:v>
      </x:c>
      <x:c r="C81" s="262" t="n">
        <x:f>IF(B78=0,0,B81/B78)</x:f>
        <x:v>1</x:v>
      </x:c>
    </x:row>
    <x:row r="82" ht="34" customHeight="1">
      <x:c r="A82" s="268" t="str">
        <x:v>Important: “Implemented” means the release contains the fix and local verification passed. HB must update the post-deployment result to Pass or Fail after live UAT.</x:v>
      </x:c>
      <x:c r="B82" s="269"/>
      <x:c r="C82" s="269"/>
      <x:c r="D82" s="269"/>
      <x:c r="E82" s="269"/>
      <x:c r="F82" s="269"/>
      <x:c r="G82" s="269"/>
      <x:c r="H82" s="269"/>
      <x:c r="I82" s="270"/>
    </x:row>
  </x:sheetData>
  <x:mergeCells>
    <x:mergeCell ref="A49:A54"/>
    <x:mergeCell ref="A55:A58"/>
    <x:mergeCell ref="A59:A61"/>
    <x:mergeCell ref="A3:A10"/>
    <x:mergeCell ref="A11:A19"/>
    <x:mergeCell ref="A20:A26"/>
    <x:mergeCell ref="A27:A34"/>
    <x:mergeCell ref="A35:A44"/>
    <x:mergeCell ref="A45:A48"/>
    <x:mergeCell ref="A1:I1"/>
    <x:mergeCell ref="A75:I75"/>
    <x:mergeCell ref="A82:I82"/>
  </x:mergeCells>
  <x:conditionalFormatting sqref="G3:G61">
    <x:cfRule type="beginsWith" dxfId="0" priority="1" operator="beginsWith" text="Implemented"/>
    <x:cfRule type="containsText" dxfId="1" priority="2" operator="containsText" text="Out Of Scope"/>
  </x:conditionalFormatting>
  <x:conditionalFormatting sqref="H3:H61">
    <x:cfRule type="containsText" dxfId="2" priority="3" operator="containsText" text="Pending UAT"/>
    <x:cfRule type="containsText" dxfId="3" priority="4" operator="containsText" text="N/A"/>
    <x:cfRule type="containsText" dxfId="4" priority="5" operator="containsText" text="Pass"/>
    <x:cfRule type="containsText" dxfId="5" priority="6" operator="containsText" text="Fail"/>
  </x:conditionalFormatting>
  <x:dataValidations count="2">
    <x:dataValidation type="list" sqref="G3:G61">
      <x:formula1>"Implemented,Implemented — ERP report,Out Of Scope,Pending"</x:formula1>
    </x:dataValidation>
    <x:dataValidation type="list" sqref="H3:H61">
      <x:formula1>"Pending UAT,Pass,Fail,N/A"</x:formula1>
    </x:dataValidation>
  </x:dataValidations>
  <x:pageMargins left="0.7" right="0.7" top="0.75" bottom="0.75" header="0.3" footer="0.3"/>
  <x:legacyDrawing xmlns:r="http://schemas.openxmlformats.org/officeDocument/2006/relationships" r:id="R6d56ab47d6894271"/>
</x:worksheet>
</file>