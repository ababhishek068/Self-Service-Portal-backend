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BH\ABH_UAT_LIVE\Layouts\"/>
    </mc:Choice>
  </mc:AlternateContent>
  <bookViews>
    <workbookView xWindow="0" yWindow="540" windowWidth="30823" windowHeight="15343" activeTab="1"/>
  </bookViews>
  <sheets>
    <sheet name="WHT Front Page" sheetId="5" r:id="rId1"/>
    <sheet name="WHT" sheetId="6" r:id="rId2"/>
    <sheet name="Data" sheetId="1" r:id="rId3"/>
    <sheet name="TranslationData" sheetId="2" r:id="rId4"/>
    <sheet name="CaptionData" sheetId="3" r:id="rId5"/>
    <sheet name="Aggregated Metadata" sheetId="4" r:id="rId6"/>
  </sheets>
  <externalReferences>
    <externalReference r:id="rId7"/>
  </externalReference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62913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I18" i="6" l="1"/>
  <c r="I19" i="6" s="1"/>
  <c r="J17" i="6"/>
  <c r="J16" i="6"/>
  <c r="Q15" i="6"/>
  <c r="J15" i="6"/>
  <c r="Q14" i="6"/>
  <c r="J14" i="6"/>
  <c r="Q13" i="6"/>
  <c r="Q17" i="6" s="1"/>
  <c r="J13" i="6"/>
  <c r="J12" i="6"/>
  <c r="J11" i="6"/>
  <c r="J10" i="6"/>
  <c r="J18" i="6" s="1"/>
  <c r="J19" i="6" s="1"/>
  <c r="J9" i="6"/>
  <c r="J8" i="6"/>
  <c r="F14" i="5"/>
  <c r="F11" i="5"/>
</calcChain>
</file>

<file path=xl/sharedStrings.xml><?xml version="1.0" encoding="utf-8"?>
<sst xmlns="http://schemas.openxmlformats.org/spreadsheetml/2006/main" count="276" uniqueCount="218">
  <si>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</si>
  <si>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</si>
  <si>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</si>
  <si>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</si>
  <si>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</si>
  <si>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</si>
  <si>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</si>
  <si>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</si>
  <si>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</si>
  <si>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</si>
  <si>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</si>
  <si>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</si>
  <si>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</si>
  <si>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</si>
  <si>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</si>
  <si>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</si>
  <si>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</si>
  <si>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</si>
  <si>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</si>
  <si>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</si>
  <si>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</si>
  <si>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</si>
  <si>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</si>
  <si>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</si>
  <si>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</si>
  <si>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</si>
  <si>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</si>
  <si>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</si>
  <si>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</si>
  <si>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</si>
  <si>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</si>
  <si>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</si>
  <si>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</si>
  <si>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</si>
  <si>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</si>
  <si>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</si>
  <si>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</si>
  <si>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</si>
  <si>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</si>
  <si>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</si>
  <si>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</si>
  <si>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</si>
  <si>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</si>
  <si>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</si>
  <si>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</si>
  <si>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</si>
  <si>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</si>
  <si>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</si>
  <si>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</si>
  <si>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</si>
  <si>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</si>
  <si>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</si>
  <si>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</si>
  <si>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</si>
  <si>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</si>
  <si>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</si>
  <si>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</si>
  <si>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</si>
  <si>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</si>
  <si>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</si>
  <si>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</si>
  <si>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</si>
  <si>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</si>
  <si>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</si>
  <si>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ActualExpenditure</t>
  </si>
  <si>
    <t>ApplytoDocumentNo</t>
  </si>
  <si>
    <t>ApplytoDocumentType</t>
  </si>
  <si>
    <t>BankBalance</t>
  </si>
  <si>
    <t>BankCriteria</t>
  </si>
  <si>
    <t>BankName</t>
  </si>
  <si>
    <t>BudgetBalance</t>
  </si>
  <si>
    <t>BudgetCenterName</t>
  </si>
  <si>
    <t>BudgetedAmount</t>
  </si>
  <si>
    <t>CancellationRemarks</t>
  </si>
  <si>
    <t>Cashier</t>
  </si>
  <si>
    <t>CertificateNo</t>
  </si>
  <si>
    <t>ChequeNo</t>
  </si>
  <si>
    <t>ChequePrinted</t>
  </si>
  <si>
    <t>ChequeType</t>
  </si>
  <si>
    <t>ClaimNo</t>
  </si>
  <si>
    <t>CommittedAmount</t>
  </si>
  <si>
    <t>ContractAmount</t>
  </si>
  <si>
    <t>ContractBalance</t>
  </si>
  <si>
    <t>ContractNo</t>
  </si>
  <si>
    <t>CreationDocNo</t>
  </si>
  <si>
    <t>CurrencyCode</t>
  </si>
  <si>
    <t>CurrencyFactor</t>
  </si>
  <si>
    <t>CurrencyReciprical</t>
  </si>
  <si>
    <t>CurrentSourceACBal</t>
  </si>
  <si>
    <t>CurrentStatus</t>
  </si>
  <si>
    <t>DatePosted</t>
  </si>
  <si>
    <t>Dim3</t>
  </si>
  <si>
    <t>Dim4</t>
  </si>
  <si>
    <t>Dim5</t>
  </si>
  <si>
    <t>DimensionSetID</t>
  </si>
  <si>
    <t>DocumentType</t>
  </si>
  <si>
    <t>EmployeeNo</t>
  </si>
  <si>
    <t>ExchangeRate</t>
  </si>
  <si>
    <t>FinalApproverSeqNo</t>
  </si>
  <si>
    <t>FinalApproverStatus</t>
  </si>
  <si>
    <t>FinancialPeriod</t>
  </si>
  <si>
    <t>FromEntryNo</t>
  </si>
  <si>
    <t>FullyPaid</t>
  </si>
  <si>
    <t>FunctionName</t>
  </si>
  <si>
    <t>GlobalDimension1Code</t>
  </si>
  <si>
    <t>ImprestNo</t>
  </si>
  <si>
    <t>InvoiceCurrencyCode</t>
  </si>
  <si>
    <t>NegotiatedExchangeRate</t>
  </si>
  <si>
    <t>No</t>
  </si>
  <si>
    <t>NoPrinted</t>
  </si>
  <si>
    <t>NoSeries</t>
  </si>
  <si>
    <t>OnBehalfOf</t>
  </si>
  <si>
    <t>OpenApproverCount</t>
  </si>
  <si>
    <t>PFNo</t>
  </si>
  <si>
    <t>PaidAmount</t>
  </si>
  <si>
    <t>PayMode</t>
  </si>
  <si>
    <t>Payee</t>
  </si>
  <si>
    <t>PayingBankAccount</t>
  </si>
  <si>
    <t>PaymentNarration</t>
  </si>
  <si>
    <t>PaymentReleaseDate</t>
  </si>
  <si>
    <t>PaymentScheduleNo</t>
  </si>
  <si>
    <t>PaymentType</t>
  </si>
  <si>
    <t>Posted</t>
  </si>
  <si>
    <t>PostedBy</t>
  </si>
  <si>
    <t>PostedCount</t>
  </si>
  <si>
    <t>ReferenceNo</t>
  </si>
  <si>
    <t>RegisterNumber</t>
  </si>
  <si>
    <t>RequestType</t>
  </si>
  <si>
    <t>ResponsibilityCenter</t>
  </si>
  <si>
    <t>Reversed</t>
  </si>
  <si>
    <t>ReversedPV</t>
  </si>
  <si>
    <t>SalesPerson</t>
  </si>
  <si>
    <t>Select</t>
  </si>
  <si>
    <t>ShiftNo</t>
  </si>
  <si>
    <t>ShortcutDimension2Code</t>
  </si>
  <si>
    <t>ShortcutDimension3Code</t>
  </si>
  <si>
    <t>ShortcutDimension4Code</t>
  </si>
  <si>
    <t>ShortcutDimension5Code</t>
  </si>
  <si>
    <t>Status</t>
  </si>
  <si>
    <t>SystemCreatedAt</t>
  </si>
  <si>
    <t>SystemCreatedBy</t>
  </si>
  <si>
    <t>SystemId</t>
  </si>
  <si>
    <t>SystemModifiedAt</t>
  </si>
  <si>
    <t>SystemModifiedBy</t>
  </si>
  <si>
    <t>TimePosted</t>
  </si>
  <si>
    <t>ToEntryNo</t>
  </si>
  <si>
    <t>TotalNetAmount</t>
  </si>
  <si>
    <t>TotalPAYEAmount</t>
  </si>
  <si>
    <t>TotalPaymentAmount</t>
  </si>
  <si>
    <t>TotalPaymentAmountLCY</t>
  </si>
  <si>
    <t>TotalRetentionAmount</t>
  </si>
  <si>
    <t>TotalVATAmount</t>
  </si>
  <si>
    <t>TotalVATWithholdingAmount</t>
  </si>
  <si>
    <t>TotalWitholdingTaxAmount</t>
  </si>
  <si>
    <t>VATBaseAmount</t>
  </si>
  <si>
    <t>VendorName</t>
  </si>
  <si>
    <t>VendorNo</t>
  </si>
  <si>
    <t/>
  </si>
  <si>
    <t>False</t>
  </si>
  <si>
    <t>00000000-0000-0000-0000-000000000000</t>
  </si>
  <si>
    <t>Withholding Tax on Payment 
Declaration
((Income Tax Proclamation No. 286/2002 &amp; Income Tax Regulation No. 78/2002)</t>
  </si>
  <si>
    <t>Section 1  -  Tax Payer Information</t>
  </si>
  <si>
    <r>
      <t xml:space="preserve">1. Name of Person or organization Withholding Tax
</t>
    </r>
    <r>
      <rPr>
        <b/>
        <i/>
        <sz val="14"/>
        <rFont val="Times New Roman"/>
        <family val="1"/>
      </rPr>
      <t xml:space="preserve">       </t>
    </r>
    <r>
      <rPr>
        <b/>
        <i/>
        <sz val="18"/>
        <rFont val="Times New Roman"/>
        <family val="1"/>
      </rPr>
      <t>ABH Partners Plc.</t>
    </r>
  </si>
  <si>
    <r>
      <t xml:space="preserve">3. Tax Payer Identification Number
</t>
    </r>
    <r>
      <rPr>
        <b/>
        <i/>
        <sz val="14"/>
        <rFont val="Times New Roman"/>
        <family val="1"/>
      </rPr>
      <t xml:space="preserve">          0004168579</t>
    </r>
  </si>
  <si>
    <t>4. Tax Account Number</t>
  </si>
  <si>
    <t>5. Withholding Period</t>
  </si>
  <si>
    <t xml:space="preserve">Yekatit </t>
  </si>
  <si>
    <r>
      <t xml:space="preserve">Year
</t>
    </r>
    <r>
      <rPr>
        <b/>
        <i/>
        <sz val="14"/>
        <rFont val="Times New Roman"/>
        <family val="1"/>
      </rPr>
      <t>2018</t>
    </r>
  </si>
  <si>
    <r>
      <t xml:space="preserve">2a. Region
</t>
    </r>
    <r>
      <rPr>
        <b/>
        <i/>
        <sz val="14"/>
        <rFont val="Times New Roman"/>
        <family val="1"/>
      </rPr>
      <t>Addis Ababa</t>
    </r>
  </si>
  <si>
    <r>
      <t xml:space="preserve">2b. Zone/ K-Ketema
</t>
    </r>
    <r>
      <rPr>
        <b/>
        <i/>
        <sz val="14"/>
        <rFont val="Times New Roman"/>
        <family val="1"/>
      </rPr>
      <t>Bole</t>
    </r>
  </si>
  <si>
    <r>
      <t>5. Tax Center</t>
    </r>
    <r>
      <rPr>
        <b/>
        <i/>
        <sz val="14"/>
        <rFont val="Times New Roman"/>
        <family val="1"/>
      </rPr>
      <t xml:space="preserve">
Ethioipai Revenue and Customs Authority Large Tax Payers Branch Office </t>
    </r>
    <r>
      <rPr>
        <i/>
        <sz val="14"/>
        <rFont val="Times New Roman"/>
        <family val="1"/>
      </rPr>
      <t xml:space="preserve">
</t>
    </r>
  </si>
  <si>
    <t xml:space="preserve">Document Number (Official Use Only)
</t>
  </si>
  <si>
    <t>2c. Woreda</t>
  </si>
  <si>
    <r>
      <t xml:space="preserve">2d. Kebele/ Farmer Ass.
</t>
    </r>
    <r>
      <rPr>
        <b/>
        <i/>
        <sz val="14"/>
        <rFont val="Times New Roman"/>
        <family val="1"/>
      </rPr>
      <t xml:space="preserve">     02</t>
    </r>
  </si>
  <si>
    <t>2e. House No.
     New</t>
  </si>
  <si>
    <r>
      <t xml:space="preserve">6. Telephone Number
      </t>
    </r>
    <r>
      <rPr>
        <b/>
        <i/>
        <sz val="14"/>
        <rFont val="Times New Roman"/>
        <family val="1"/>
      </rPr>
      <t>0116186520</t>
    </r>
  </si>
  <si>
    <r>
      <t xml:space="preserve">7. Fax Number
</t>
    </r>
    <r>
      <rPr>
        <b/>
        <i/>
        <sz val="14"/>
        <rFont val="Times New Roman"/>
        <family val="1"/>
      </rPr>
      <t xml:space="preserve">   0116186528</t>
    </r>
  </si>
  <si>
    <t>Section 3 -  Calcuation of Tax Due</t>
  </si>
  <si>
    <t>Section 4 - Taxpayer Certification</t>
  </si>
  <si>
    <t>Setion 5 - Office Use Only</t>
  </si>
  <si>
    <t>Total Number of Whholders'</t>
  </si>
  <si>
    <t>I declare that the above declaration and all informatiuon provided herewith is correct and complete to the best of my knowldege and beloef. I understand that any misrepresentation is punishable under the appropriate tax lwas and penal code.</t>
  </si>
  <si>
    <t>Date of 
Payment</t>
  </si>
  <si>
    <t>Receipt 
Number</t>
  </si>
  <si>
    <t>Total Taxable Amount for this Tax
period (From Column f total)</t>
  </si>
  <si>
    <t>Amount of 
Payment</t>
  </si>
  <si>
    <t>Check
Number</t>
  </si>
  <si>
    <t>Total Tax withheld for this Tax
period (From Column g total)</t>
  </si>
  <si>
    <t>Cashier's Signature</t>
  </si>
  <si>
    <r>
      <rPr>
        <b/>
        <i/>
        <sz val="14"/>
        <rFont val="Times New Roman"/>
        <family val="1"/>
      </rPr>
      <t>Taxpayer or Authorized Agent</t>
    </r>
    <r>
      <rPr>
        <i/>
        <sz val="14"/>
        <rFont val="Times New Roman"/>
        <family val="1"/>
      </rPr>
      <t xml:space="preserve">
Name </t>
    </r>
    <r>
      <rPr>
        <b/>
        <i/>
        <u/>
        <sz val="14"/>
        <rFont val="Times New Roman"/>
        <family val="1"/>
      </rPr>
      <t xml:space="preserve">                                   
</t>
    </r>
    <r>
      <rPr>
        <i/>
        <sz val="14"/>
        <rFont val="Times New Roman"/>
        <family val="1"/>
      </rPr>
      <t xml:space="preserve">Signature  ________________
Date     ___________________
</t>
    </r>
  </si>
  <si>
    <t>Withholding 
Agent Seal</t>
  </si>
  <si>
    <r>
      <rPr>
        <b/>
        <i/>
        <sz val="14"/>
        <rFont val="Times New Roman"/>
        <family val="1"/>
      </rPr>
      <t>For Tax Office : Name of Authorized Tax Officer</t>
    </r>
    <r>
      <rPr>
        <i/>
        <sz val="14"/>
        <rFont val="Times New Roman"/>
        <family val="1"/>
      </rPr>
      <t xml:space="preserve">
__________________________________________
Signature __________________________________ Date ___________________</t>
    </r>
  </si>
  <si>
    <t>ERCA</t>
  </si>
  <si>
    <r>
      <t xml:space="preserve">1. Name of Person or organization Withholding Tax
</t>
    </r>
    <r>
      <rPr>
        <b/>
        <i/>
        <sz val="12"/>
        <rFont val="Times New Roman"/>
        <family val="1"/>
      </rPr>
      <t xml:space="preserve">       </t>
    </r>
    <r>
      <rPr>
        <b/>
        <i/>
        <sz val="16"/>
        <rFont val="Times New Roman"/>
        <family val="1"/>
      </rPr>
      <t>ABH Partners Plc.</t>
    </r>
  </si>
  <si>
    <r>
      <t xml:space="preserve">3. TIN
</t>
    </r>
    <r>
      <rPr>
        <b/>
        <i/>
        <sz val="11"/>
        <rFont val="Times New Roman"/>
        <family val="1"/>
      </rPr>
      <t xml:space="preserve">          0004168579</t>
    </r>
  </si>
  <si>
    <r>
      <t xml:space="preserve">4. Tax Account Number
</t>
    </r>
    <r>
      <rPr>
        <b/>
        <i/>
        <sz val="12"/>
        <rFont val="Times New Roman"/>
        <family val="1"/>
      </rPr>
      <t>0004168579</t>
    </r>
  </si>
  <si>
    <r>
      <rPr>
        <i/>
        <sz val="12"/>
        <rFont val="Times New Roman"/>
        <family val="1"/>
      </rPr>
      <t xml:space="preserve">Month/Year    </t>
    </r>
    <r>
      <rPr>
        <b/>
        <i/>
        <sz val="12"/>
        <rFont val="Times New Roman"/>
        <family val="1"/>
      </rPr>
      <t xml:space="preserve">        Tahisas 2018</t>
    </r>
  </si>
  <si>
    <r>
      <t xml:space="preserve">2a. Region
</t>
    </r>
    <r>
      <rPr>
        <b/>
        <i/>
        <sz val="12"/>
        <rFont val="Times New Roman"/>
        <family val="1"/>
      </rPr>
      <t>Addis Ababa</t>
    </r>
  </si>
  <si>
    <r>
      <t xml:space="preserve">2b. Zone/ K-Ketema
</t>
    </r>
    <r>
      <rPr>
        <b/>
        <i/>
        <sz val="12"/>
        <rFont val="Times New Roman"/>
        <family val="1"/>
      </rPr>
      <t>Bole</t>
    </r>
  </si>
  <si>
    <t xml:space="preserve">5. Tax Center
</t>
  </si>
  <si>
    <t>ERCA Larg Tax Payers</t>
  </si>
  <si>
    <r>
      <t xml:space="preserve">2e. House No.
     </t>
    </r>
    <r>
      <rPr>
        <b/>
        <i/>
        <sz val="11"/>
        <rFont val="Times New Roman"/>
        <family val="1"/>
      </rPr>
      <t>2789</t>
    </r>
  </si>
  <si>
    <r>
      <t>6.Tele -</t>
    </r>
    <r>
      <rPr>
        <b/>
        <i/>
        <sz val="12"/>
        <rFont val="Times New Roman"/>
        <family val="1"/>
      </rPr>
      <t>116186520</t>
    </r>
  </si>
  <si>
    <r>
      <t xml:space="preserve">7. Fax </t>
    </r>
    <r>
      <rPr>
        <b/>
        <i/>
        <sz val="12"/>
        <rFont val="Times New Roman"/>
        <family val="1"/>
      </rPr>
      <t>0116186528</t>
    </r>
  </si>
  <si>
    <t>Section 2 - Declaration Details</t>
  </si>
  <si>
    <t>a)
Seq.
Num</t>
  </si>
  <si>
    <t>b)
Withhodee
TIN</t>
  </si>
  <si>
    <t>c) Name of Organziation or Person (Name, Father's Name and Grandfather's Name)</t>
  </si>
  <si>
    <t>Region</t>
  </si>
  <si>
    <t>Zone/
Ketema</t>
  </si>
  <si>
    <t>Woreda</t>
  </si>
  <si>
    <t>House
Number</t>
  </si>
  <si>
    <t>f) Taxable
Amount</t>
  </si>
  <si>
    <t>g) Tax
Withhold
((f)x 30%&amp;2%</t>
  </si>
  <si>
    <t>h)Withholding Tax
Receipt</t>
  </si>
  <si>
    <t>Enter Totals from All Continuation Sheets Here &gt;&gt;</t>
  </si>
  <si>
    <t>TOTAL columns f &amp; g (Lines 20 and 30) &gt;&gt;</t>
  </si>
  <si>
    <t>* Inseert "rental" if the tax withheld from office rent, for other types of transaction please insert "Other"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</si>
</sst>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dd/mm/yy\ hh:mm:ss;@"/>
    <numFmt numFmtId="165" formatCode="dd\/mm\/yyyy"/>
  </numFmts>
  <fonts count="17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4"/>
      <name val="Times New Roman"/>
      <family val="1"/>
    </font>
    <font>
      <b/>
      <i/>
      <sz val="14"/>
      <name val="Times New Roman"/>
      <family val="1"/>
    </font>
    <font>
      <b/>
      <i/>
      <sz val="18"/>
      <name val="Times New Roman"/>
      <family val="1"/>
    </font>
    <font>
      <i/>
      <sz val="11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i/>
      <sz val="10"/>
      <name val="Times New Roman"/>
      <family val="1"/>
    </font>
    <font>
      <b/>
      <i/>
      <sz val="16"/>
      <name val="Times New Roman"/>
      <family val="1"/>
    </font>
    <font>
      <i/>
      <sz val="12"/>
      <name val="Times New Roman"/>
      <family val="1"/>
    </font>
    <font>
      <b/>
      <i/>
      <sz val="11"/>
      <name val="Times New Roman"/>
      <family val="1"/>
    </font>
    <font>
      <b/>
      <sz val="12"/>
      <name val="Times New Roman"/>
      <family val="1"/>
    </font>
    <font>
      <b/>
      <i/>
      <sz val="10"/>
      <name val="Garamond"/>
      <family val="1"/>
    </font>
    <font>
      <sz val="14"/>
      <name val="Garamond"/>
      <family val="1"/>
    </font>
    <font>
      <i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8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3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43" fontId="3" fillId="0" borderId="0" xfId="1" applyFont="1" applyFill="1" applyBorder="1" applyAlignment="1">
      <alignment horizontal="left"/>
    </xf>
    <xf numFmtId="43" fontId="3" fillId="0" borderId="0" xfId="1" applyFont="1" applyFill="1"/>
    <xf numFmtId="0" fontId="3" fillId="0" borderId="0" xfId="0" applyFont="1" applyFill="1"/>
    <xf numFmtId="0" fontId="3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left" vertical="center"/>
    </xf>
    <xf numFmtId="43" fontId="3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/>
    </xf>
    <xf numFmtId="43" fontId="3" fillId="0" borderId="0" xfId="1" applyFont="1" applyFill="1" applyBorder="1" applyAlignment="1">
      <alignment horizontal="left" vertical="center"/>
    </xf>
    <xf numFmtId="43" fontId="3" fillId="0" borderId="0" xfId="1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left" vertical="top"/>
    </xf>
    <xf numFmtId="0" fontId="3" fillId="3" borderId="14" xfId="0" applyFont="1" applyFill="1" applyBorder="1" applyAlignment="1">
      <alignment horizontal="left" vertical="top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/>
    </xf>
    <xf numFmtId="0" fontId="3" fillId="3" borderId="20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horizontal="center" vertical="top"/>
    </xf>
    <xf numFmtId="0" fontId="3" fillId="3" borderId="1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left" indent="1"/>
    </xf>
    <xf numFmtId="0" fontId="4" fillId="3" borderId="28" xfId="0" applyFont="1" applyFill="1" applyBorder="1" applyAlignment="1">
      <alignment horizontal="left" indent="1"/>
    </xf>
    <xf numFmtId="0" fontId="4" fillId="3" borderId="29" xfId="0" applyFont="1" applyFill="1" applyBorder="1" applyAlignment="1">
      <alignment horizontal="left" indent="1"/>
    </xf>
    <xf numFmtId="0" fontId="4" fillId="3" borderId="30" xfId="0" applyFont="1" applyFill="1" applyBorder="1" applyAlignment="1">
      <alignment horizontal="left"/>
    </xf>
    <xf numFmtId="0" fontId="4" fillId="3" borderId="28" xfId="0" applyFont="1" applyFill="1" applyBorder="1" applyAlignment="1">
      <alignment horizontal="left"/>
    </xf>
    <xf numFmtId="0" fontId="4" fillId="3" borderId="29" xfId="0" applyFont="1" applyFill="1" applyBorder="1" applyAlignment="1">
      <alignment horizontal="left"/>
    </xf>
    <xf numFmtId="0" fontId="4" fillId="3" borderId="30" xfId="0" applyFont="1" applyFill="1" applyBorder="1" applyAlignment="1"/>
    <xf numFmtId="0" fontId="4" fillId="3" borderId="28" xfId="0" applyFont="1" applyFill="1" applyBorder="1" applyAlignment="1"/>
    <xf numFmtId="0" fontId="4" fillId="3" borderId="31" xfId="0" applyFont="1" applyFill="1" applyBorder="1" applyAlignment="1"/>
    <xf numFmtId="0" fontId="4" fillId="0" borderId="0" xfId="0" applyFont="1" applyFill="1" applyBorder="1" applyAlignment="1">
      <alignment horizontal="left"/>
    </xf>
    <xf numFmtId="43" fontId="4" fillId="0" borderId="0" xfId="1" applyFont="1" applyFill="1"/>
    <xf numFmtId="0" fontId="4" fillId="0" borderId="0" xfId="0" applyFont="1" applyFill="1"/>
    <xf numFmtId="0" fontId="4" fillId="0" borderId="32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indent="1"/>
    </xf>
    <xf numFmtId="0" fontId="4" fillId="0" borderId="0" xfId="0" applyFont="1" applyFill="1" applyBorder="1" applyAlignment="1"/>
    <xf numFmtId="0" fontId="4" fillId="0" borderId="33" xfId="0" applyFont="1" applyFill="1" applyBorder="1" applyAlignment="1"/>
    <xf numFmtId="43" fontId="4" fillId="0" borderId="0" xfId="1" applyFont="1" applyFill="1" applyBorder="1"/>
    <xf numFmtId="0" fontId="4" fillId="0" borderId="0" xfId="0" applyFont="1" applyFill="1" applyBorder="1"/>
    <xf numFmtId="0" fontId="3" fillId="0" borderId="34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9" fontId="4" fillId="0" borderId="8" xfId="2" applyFont="1" applyFill="1" applyBorder="1" applyAlignment="1">
      <alignment horizontal="right" vertical="center" wrapText="1"/>
    </xf>
    <xf numFmtId="9" fontId="4" fillId="0" borderId="10" xfId="2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3" fillId="0" borderId="3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43" fontId="3" fillId="0" borderId="0" xfId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 wrapText="1"/>
    </xf>
    <xf numFmtId="0" fontId="3" fillId="0" borderId="22" xfId="0" applyFont="1" applyFill="1" applyBorder="1" applyAlignment="1">
      <alignment horizontal="left" vertical="center" wrapText="1"/>
    </xf>
    <xf numFmtId="0" fontId="3" fillId="0" borderId="37" xfId="0" applyFont="1" applyFill="1" applyBorder="1" applyAlignment="1">
      <alignment horizontal="left" vertical="center" wrapText="1"/>
    </xf>
    <xf numFmtId="40" fontId="4" fillId="0" borderId="21" xfId="0" applyNumberFormat="1" applyFont="1" applyFill="1" applyBorder="1" applyAlignment="1">
      <alignment horizontal="right" vertical="center"/>
    </xf>
    <xf numFmtId="40" fontId="4" fillId="0" borderId="37" xfId="0" applyNumberFormat="1" applyFont="1" applyFill="1" applyBorder="1" applyAlignment="1">
      <alignment horizontal="right" vertical="center"/>
    </xf>
    <xf numFmtId="0" fontId="6" fillId="0" borderId="3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right" vertical="center" wrapText="1"/>
    </xf>
    <xf numFmtId="0" fontId="4" fillId="0" borderId="37" xfId="0" applyFont="1" applyFill="1" applyBorder="1" applyAlignment="1">
      <alignment horizontal="righ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37" xfId="0" applyFont="1" applyFill="1" applyBorder="1" applyAlignment="1">
      <alignment horizontal="left" vertical="center" wrapText="1"/>
    </xf>
    <xf numFmtId="0" fontId="3" fillId="0" borderId="40" xfId="0" applyFont="1" applyFill="1" applyBorder="1" applyAlignment="1">
      <alignment horizontal="left" vertical="center" wrapText="1"/>
    </xf>
    <xf numFmtId="43" fontId="3" fillId="0" borderId="0" xfId="1" applyFont="1" applyFill="1" applyBorder="1" applyAlignment="1">
      <alignment horizontal="left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40" fontId="4" fillId="0" borderId="15" xfId="0" applyNumberFormat="1" applyFont="1" applyFill="1" applyBorder="1" applyAlignment="1">
      <alignment horizontal="right" vertical="center"/>
    </xf>
    <xf numFmtId="40" fontId="4" fillId="0" borderId="14" xfId="0" applyNumberFormat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right" vertical="center" wrapText="1"/>
    </xf>
    <xf numFmtId="0" fontId="4" fillId="0" borderId="14" xfId="0" applyFont="1" applyFill="1" applyBorder="1" applyAlignment="1">
      <alignment horizontal="righ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right" vertical="center"/>
    </xf>
    <xf numFmtId="0" fontId="3" fillId="0" borderId="25" xfId="0" applyFont="1" applyFill="1" applyBorder="1" applyAlignment="1">
      <alignment horizontal="left" vertical="center" wrapText="1"/>
    </xf>
    <xf numFmtId="0" fontId="3" fillId="0" borderId="25" xfId="0" applyFont="1" applyFill="1" applyBorder="1" applyAlignment="1">
      <alignment horizontal="center" vertical="center"/>
    </xf>
    <xf numFmtId="43" fontId="3" fillId="0" borderId="25" xfId="1" applyFont="1" applyFill="1" applyBorder="1" applyAlignment="1">
      <alignment horizontal="right" vertical="center"/>
    </xf>
    <xf numFmtId="0" fontId="3" fillId="0" borderId="25" xfId="0" applyFont="1" applyFill="1" applyBorder="1" applyAlignment="1">
      <alignment horizontal="right" vertical="center" wrapText="1"/>
    </xf>
    <xf numFmtId="0" fontId="3" fillId="0" borderId="25" xfId="0" applyFont="1" applyFill="1" applyBorder="1" applyAlignment="1">
      <alignment horizontal="right" vertical="center"/>
    </xf>
    <xf numFmtId="0" fontId="3" fillId="0" borderId="25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3" fillId="0" borderId="43" xfId="0" applyFont="1" applyFill="1" applyBorder="1" applyAlignment="1">
      <alignment horizontal="left" vertical="center"/>
    </xf>
    <xf numFmtId="0" fontId="3" fillId="0" borderId="38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39" xfId="0" applyFont="1" applyFill="1" applyBorder="1" applyAlignment="1">
      <alignment horizontal="left" vertical="center" wrapText="1"/>
    </xf>
    <xf numFmtId="40" fontId="4" fillId="0" borderId="38" xfId="0" applyNumberFormat="1" applyFont="1" applyFill="1" applyBorder="1" applyAlignment="1">
      <alignment horizontal="right" vertical="center"/>
    </xf>
    <xf numFmtId="40" fontId="4" fillId="0" borderId="39" xfId="0" applyNumberFormat="1" applyFont="1" applyFill="1" applyBorder="1" applyAlignment="1">
      <alignment horizontal="right" vertical="center"/>
    </xf>
    <xf numFmtId="0" fontId="3" fillId="0" borderId="33" xfId="0" applyFont="1" applyFill="1" applyBorder="1" applyAlignment="1">
      <alignment horizontal="left" vertical="center" wrapText="1"/>
    </xf>
    <xf numFmtId="0" fontId="3" fillId="0" borderId="44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 wrapText="1"/>
    </xf>
    <xf numFmtId="0" fontId="3" fillId="0" borderId="46" xfId="0" applyFont="1" applyFill="1" applyBorder="1" applyAlignment="1">
      <alignment horizontal="left" vertical="center" wrapText="1"/>
    </xf>
    <xf numFmtId="0" fontId="3" fillId="0" borderId="47" xfId="0" applyFont="1" applyFill="1" applyBorder="1" applyAlignment="1">
      <alignment horizontal="left" vertical="center" wrapText="1"/>
    </xf>
    <xf numFmtId="40" fontId="4" fillId="0" borderId="45" xfId="0" applyNumberFormat="1" applyFont="1" applyFill="1" applyBorder="1" applyAlignment="1">
      <alignment horizontal="right" vertical="center"/>
    </xf>
    <xf numFmtId="40" fontId="4" fillId="0" borderId="47" xfId="0" applyNumberFormat="1" applyFont="1" applyFill="1" applyBorder="1" applyAlignment="1">
      <alignment horizontal="right" vertical="center"/>
    </xf>
    <xf numFmtId="0" fontId="6" fillId="0" borderId="45" xfId="0" applyFont="1" applyFill="1" applyBorder="1" applyAlignment="1">
      <alignment horizontal="center" vertical="center" wrapText="1"/>
    </xf>
    <xf numFmtId="0" fontId="6" fillId="0" borderId="46" xfId="0" applyFont="1" applyFill="1" applyBorder="1" applyAlignment="1">
      <alignment horizontal="center" vertical="center" wrapText="1"/>
    </xf>
    <xf numFmtId="0" fontId="6" fillId="0" borderId="47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left" vertical="center" wrapText="1"/>
    </xf>
    <xf numFmtId="0" fontId="3" fillId="0" borderId="49" xfId="0" applyFont="1" applyFill="1" applyBorder="1" applyAlignment="1">
      <alignment horizontal="left" wrapText="1"/>
    </xf>
    <xf numFmtId="0" fontId="3" fillId="0" borderId="50" xfId="0" applyFont="1" applyFill="1" applyBorder="1" applyAlignment="1">
      <alignment horizontal="left" wrapText="1"/>
    </xf>
    <xf numFmtId="0" fontId="3" fillId="0" borderId="51" xfId="0" applyFont="1" applyFill="1" applyBorder="1" applyAlignment="1">
      <alignment horizontal="left" wrapText="1"/>
    </xf>
    <xf numFmtId="0" fontId="3" fillId="0" borderId="52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5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49" fontId="3" fillId="0" borderId="0" xfId="0" applyNumberFormat="1" applyFont="1" applyFill="1"/>
    <xf numFmtId="0" fontId="3" fillId="0" borderId="0" xfId="0" applyFont="1" applyFill="1" applyBorder="1"/>
    <xf numFmtId="43" fontId="3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43" fontId="3" fillId="0" borderId="0" xfId="1" applyFont="1" applyFill="1" applyAlignment="1">
      <alignment horizontal="left"/>
    </xf>
    <xf numFmtId="43" fontId="3" fillId="0" borderId="0" xfId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43" fontId="3" fillId="0" borderId="0" xfId="0" applyNumberFormat="1" applyFont="1" applyFill="1"/>
    <xf numFmtId="43" fontId="9" fillId="0" borderId="0" xfId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/>
    </xf>
    <xf numFmtId="43" fontId="11" fillId="0" borderId="0" xfId="1" applyFont="1" applyFill="1"/>
    <xf numFmtId="0" fontId="4" fillId="0" borderId="54" xfId="0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11" fillId="0" borderId="0" xfId="1" applyFont="1" applyFill="1" applyAlignment="1">
      <alignment vertical="center"/>
    </xf>
    <xf numFmtId="0" fontId="11" fillId="0" borderId="55" xfId="0" applyFont="1" applyFill="1" applyBorder="1" applyAlignment="1">
      <alignment horizontal="center" vertical="top" wrapText="1"/>
    </xf>
    <xf numFmtId="0" fontId="11" fillId="0" borderId="56" xfId="0" applyFont="1" applyFill="1" applyBorder="1" applyAlignment="1">
      <alignment horizontal="center" vertical="top" wrapText="1"/>
    </xf>
    <xf numFmtId="0" fontId="3" fillId="0" borderId="57" xfId="0" applyFont="1" applyFill="1" applyBorder="1" applyAlignment="1">
      <alignment horizontal="left" vertical="top" wrapText="1"/>
    </xf>
    <xf numFmtId="0" fontId="6" fillId="0" borderId="58" xfId="0" applyFont="1" applyFill="1" applyBorder="1" applyAlignment="1">
      <alignment horizontal="center" vertical="center" wrapText="1"/>
    </xf>
    <xf numFmtId="0" fontId="6" fillId="0" borderId="59" xfId="0" applyFont="1" applyFill="1" applyBorder="1" applyAlignment="1">
      <alignment horizontal="center" vertical="center" wrapText="1"/>
    </xf>
    <xf numFmtId="0" fontId="11" fillId="0" borderId="60" xfId="0" applyFont="1" applyFill="1" applyBorder="1" applyAlignment="1">
      <alignment horizontal="center" wrapText="1"/>
    </xf>
    <xf numFmtId="0" fontId="11" fillId="0" borderId="61" xfId="0" applyFont="1" applyFill="1" applyBorder="1" applyAlignment="1">
      <alignment horizontal="center"/>
    </xf>
    <xf numFmtId="43" fontId="7" fillId="0" borderId="16" xfId="1" applyFont="1" applyFill="1" applyBorder="1" applyAlignment="1">
      <alignment horizontal="center" wrapText="1"/>
    </xf>
    <xf numFmtId="0" fontId="7" fillId="0" borderId="61" xfId="0" applyFont="1" applyFill="1" applyBorder="1" applyAlignment="1">
      <alignment horizontal="center" vertical="top"/>
    </xf>
    <xf numFmtId="0" fontId="11" fillId="0" borderId="62" xfId="0" applyFont="1" applyFill="1" applyBorder="1" applyAlignment="1">
      <alignment horizontal="center" vertical="top"/>
    </xf>
    <xf numFmtId="43" fontId="11" fillId="0" borderId="0" xfId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vertical="top"/>
    </xf>
    <xf numFmtId="0" fontId="11" fillId="0" borderId="6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left" wrapText="1"/>
    </xf>
    <xf numFmtId="0" fontId="11" fillId="0" borderId="17" xfId="0" applyFont="1" applyFill="1" applyBorder="1" applyAlignment="1">
      <alignment horizontal="left" vertical="top" wrapText="1"/>
    </xf>
    <xf numFmtId="0" fontId="11" fillId="0" borderId="16" xfId="0" applyFont="1" applyFill="1" applyBorder="1" applyAlignment="1">
      <alignment horizontal="center" vertical="top" wrapText="1"/>
    </xf>
    <xf numFmtId="0" fontId="11" fillId="0" borderId="17" xfId="0" applyFont="1" applyFill="1" applyBorder="1" applyAlignment="1">
      <alignment horizontal="center" vertical="top" wrapText="1"/>
    </xf>
    <xf numFmtId="0" fontId="7" fillId="0" borderId="18" xfId="0" applyFont="1" applyFill="1" applyBorder="1" applyAlignment="1">
      <alignment horizont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/>
    </xf>
    <xf numFmtId="0" fontId="3" fillId="0" borderId="65" xfId="0" applyFont="1" applyFill="1" applyBorder="1" applyAlignment="1">
      <alignment vertical="top"/>
    </xf>
    <xf numFmtId="0" fontId="11" fillId="0" borderId="25" xfId="0" applyFont="1" applyFill="1" applyBorder="1" applyAlignment="1">
      <alignment horizontal="center" vertical="top"/>
    </xf>
    <xf numFmtId="0" fontId="11" fillId="0" borderId="18" xfId="0" applyFont="1" applyFill="1" applyBorder="1" applyAlignment="1">
      <alignment horizontal="center" vertical="top" wrapText="1"/>
    </xf>
    <xf numFmtId="0" fontId="6" fillId="0" borderId="16" xfId="0" applyFont="1" applyFill="1" applyBorder="1" applyAlignment="1">
      <alignment horizontal="left" vertical="top" wrapText="1"/>
    </xf>
    <xf numFmtId="0" fontId="11" fillId="0" borderId="18" xfId="0" applyFont="1" applyFill="1" applyBorder="1" applyAlignment="1">
      <alignment horizontal="center" vertical="top" wrapText="1"/>
    </xf>
    <xf numFmtId="0" fontId="11" fillId="0" borderId="16" xfId="0" applyFont="1" applyFill="1" applyBorder="1" applyAlignment="1">
      <alignment horizontal="left" vertical="top" wrapText="1"/>
    </xf>
    <xf numFmtId="0" fontId="11" fillId="0" borderId="18" xfId="0" applyFont="1" applyFill="1" applyBorder="1" applyAlignment="1">
      <alignment horizontal="left" vertical="top" wrapText="1"/>
    </xf>
    <xf numFmtId="43" fontId="11" fillId="0" borderId="13" xfId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/>
    </xf>
    <xf numFmtId="0" fontId="7" fillId="0" borderId="63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43" fontId="7" fillId="0" borderId="17" xfId="1" applyFont="1" applyFill="1" applyBorder="1" applyAlignment="1">
      <alignment horizontal="center" vertical="center"/>
    </xf>
    <xf numFmtId="0" fontId="7" fillId="0" borderId="6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68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7" fillId="0" borderId="69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49" fontId="13" fillId="0" borderId="16" xfId="0" applyNumberFormat="1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43" fontId="7" fillId="0" borderId="21" xfId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70" xfId="0" applyFont="1" applyFill="1" applyBorder="1" applyAlignment="1">
      <alignment horizontal="center" vertical="center" wrapText="1"/>
    </xf>
    <xf numFmtId="0" fontId="14" fillId="0" borderId="71" xfId="0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49" fontId="11" fillId="4" borderId="16" xfId="0" applyNumberFormat="1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49" fontId="11" fillId="0" borderId="16" xfId="0" applyNumberFormat="1" applyFont="1" applyFill="1" applyBorder="1" applyAlignment="1">
      <alignment horizontal="center" vertical="center"/>
    </xf>
    <xf numFmtId="49" fontId="11" fillId="0" borderId="25" xfId="0" applyNumberFormat="1" applyFont="1" applyFill="1" applyBorder="1" applyAlignment="1">
      <alignment horizontal="center" vertical="center"/>
    </xf>
    <xf numFmtId="40" fontId="11" fillId="4" borderId="16" xfId="0" applyNumberFormat="1" applyFont="1" applyFill="1" applyBorder="1" applyAlignment="1">
      <alignment vertical="center"/>
    </xf>
    <xf numFmtId="43" fontId="11" fillId="4" borderId="16" xfId="1" applyFont="1" applyFill="1" applyBorder="1" applyAlignment="1">
      <alignment vertical="center" wrapText="1"/>
    </xf>
    <xf numFmtId="49" fontId="11" fillId="0" borderId="25" xfId="0" applyNumberFormat="1" applyFont="1" applyFill="1" applyBorder="1" applyAlignment="1">
      <alignment horizontal="center" vertical="center" wrapText="1"/>
    </xf>
    <xf numFmtId="165" fontId="11" fillId="0" borderId="25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43" fontId="11" fillId="0" borderId="0" xfId="1" applyFont="1" applyFill="1" applyBorder="1" applyAlignment="1">
      <alignment vertical="center"/>
    </xf>
    <xf numFmtId="43" fontId="9" fillId="0" borderId="0" xfId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43" fontId="11" fillId="0" borderId="16" xfId="1" applyFont="1" applyFill="1" applyBorder="1" applyAlignment="1">
      <alignment vertical="center" wrapText="1"/>
    </xf>
    <xf numFmtId="0" fontId="11" fillId="4" borderId="2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49" fontId="11" fillId="4" borderId="25" xfId="0" applyNumberFormat="1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left" vertical="center"/>
    </xf>
    <xf numFmtId="43" fontId="9" fillId="0" borderId="0" xfId="0" applyNumberFormat="1" applyFont="1" applyFill="1" applyBorder="1" applyAlignment="1">
      <alignment vertical="center"/>
    </xf>
    <xf numFmtId="0" fontId="4" fillId="0" borderId="63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43" fontId="4" fillId="0" borderId="18" xfId="1" applyFont="1" applyFill="1" applyBorder="1" applyAlignment="1">
      <alignment vertical="center"/>
    </xf>
    <xf numFmtId="165" fontId="3" fillId="0" borderId="25" xfId="0" applyNumberFormat="1" applyFont="1" applyFill="1" applyBorder="1" applyAlignment="1">
      <alignment horizontal="center" vertical="center" wrapText="1"/>
    </xf>
    <xf numFmtId="1" fontId="3" fillId="0" borderId="0" xfId="1" applyNumberFormat="1" applyFont="1" applyFill="1"/>
    <xf numFmtId="43" fontId="3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6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right" vertical="center"/>
    </xf>
    <xf numFmtId="0" fontId="4" fillId="0" borderId="18" xfId="0" applyFont="1" applyFill="1" applyBorder="1" applyAlignment="1">
      <alignment horizontal="right" vertical="center"/>
    </xf>
    <xf numFmtId="43" fontId="4" fillId="0" borderId="16" xfId="1" applyFont="1" applyFill="1" applyBorder="1" applyAlignment="1">
      <alignment horizontal="left" vertical="center"/>
    </xf>
    <xf numFmtId="43" fontId="4" fillId="0" borderId="16" xfId="1" applyFont="1" applyFill="1" applyBorder="1" applyAlignment="1">
      <alignment vertical="center" wrapText="1"/>
    </xf>
    <xf numFmtId="43" fontId="3" fillId="0" borderId="0" xfId="1" applyFont="1" applyFill="1" applyAlignment="1">
      <alignment horizontal="center"/>
    </xf>
    <xf numFmtId="0" fontId="3" fillId="0" borderId="16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3" fillId="0" borderId="25" xfId="0" applyFont="1" applyFill="1" applyBorder="1" applyAlignment="1"/>
    <xf numFmtId="43" fontId="3" fillId="0" borderId="16" xfId="1" applyFont="1" applyFill="1" applyBorder="1" applyAlignment="1">
      <alignment horizontal="center"/>
    </xf>
    <xf numFmtId="43" fontId="3" fillId="0" borderId="16" xfId="1" applyFont="1" applyFill="1" applyBorder="1" applyAlignment="1"/>
    <xf numFmtId="43" fontId="3" fillId="0" borderId="0" xfId="0" applyNumberFormat="1" applyFont="1" applyFill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/>
    <xf numFmtId="49" fontId="11" fillId="0" borderId="0" xfId="0" applyNumberFormat="1" applyFont="1" applyFill="1"/>
    <xf numFmtId="43" fontId="11" fillId="0" borderId="0" xfId="0" applyNumberFormat="1" applyFont="1" applyFill="1"/>
    <xf numFmtId="0" fontId="15" fillId="0" borderId="0" xfId="0" applyFont="1" applyFill="1" applyAlignment="1">
      <alignment horizontal="right" vertical="center"/>
    </xf>
    <xf numFmtId="43" fontId="11" fillId="0" borderId="0" xfId="1" applyFont="1" applyFill="1" applyAlignment="1">
      <alignment horizontal="center"/>
    </xf>
    <xf numFmtId="43" fontId="16" fillId="0" borderId="0" xfId="1" applyFont="1" applyFill="1" applyAlignment="1">
      <alignment horizontal="right"/>
    </xf>
    <xf numFmtId="43" fontId="16" fillId="0" borderId="0" xfId="1" applyFont="1" applyFill="1"/>
    <xf numFmtId="43" fontId="11" fillId="0" borderId="0" xfId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sil\Downloads\WHT%20-%20Yekatit%20,%20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T Front Page "/>
      <sheetName val="Tir 2018 - WHT"/>
    </sheetNames>
    <sheetDataSet>
      <sheetData sheetId="0"/>
      <sheetData sheetId="1">
        <row r="18">
          <cell r="I18">
            <v>0</v>
          </cell>
        </row>
        <row r="19">
          <cell r="J19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id="1" name="Data" displayName="Data" ref="A1:CP2" totalsRowShown="0" headerRowDxfId="4">
  <autoFilter ref="A1:CP2"/>
  <tableColumns count="94">
    <tableColumn id="1" name="ActualExpenditure"/>
    <tableColumn id="2" name="ApplytoDocumentNo"/>
    <tableColumn id="3" name="ApplytoDocumentType"/>
    <tableColumn id="4" name="BankBalance"/>
    <tableColumn id="5" name="BankCriteria"/>
    <tableColumn id="6" name="BankName"/>
    <tableColumn id="7" name="BudgetBalance"/>
    <tableColumn id="8" name="BudgetCenterName"/>
    <tableColumn id="9" name="BudgetedAmount"/>
    <tableColumn id="10" name="CancellationRemarks"/>
    <tableColumn id="11" name="Cashier"/>
    <tableColumn id="12" name="CertificateNo"/>
    <tableColumn id="13" name="ChequeNo"/>
    <tableColumn id="14" name="ChequePrinted"/>
    <tableColumn id="15" name="ChequeType"/>
    <tableColumn id="16" name="ClaimNo"/>
    <tableColumn id="17" name="CommittedAmount"/>
    <tableColumn id="18" name="ContractAmount"/>
    <tableColumn id="19" name="ContractBalance"/>
    <tableColumn id="20" name="ContractNo"/>
    <tableColumn id="21" name="CreationDocNo"/>
    <tableColumn id="22" name="CurrencyCode"/>
    <tableColumn id="23" name="CurrencyFactor"/>
    <tableColumn id="24" name="CurrencyReciprical"/>
    <tableColumn id="25" name="CurrentSourceACBal"/>
    <tableColumn id="26" name="CurrentStatus"/>
    <tableColumn id="27" name="Date"/>
    <tableColumn id="28" name="DatePosted"/>
    <tableColumn id="29" name="Dim3"/>
    <tableColumn id="30" name="Dim4"/>
    <tableColumn id="31" name="Dim5"/>
    <tableColumn id="32" name="DimensionSetID"/>
    <tableColumn id="33" name="DocumentType"/>
    <tableColumn id="34" name="EmployeeNo"/>
    <tableColumn id="35" name="ExchangeRate"/>
    <tableColumn id="36" name="FinalApproverSeqNo"/>
    <tableColumn id="37" name="FinalApproverStatus"/>
    <tableColumn id="38" name="FinancialPeriod"/>
    <tableColumn id="39" name="FromEntryNo"/>
    <tableColumn id="40" name="FullyPaid"/>
    <tableColumn id="41" name="FunctionName"/>
    <tableColumn id="42" name="GlobalDimension1Code"/>
    <tableColumn id="43" name="ImprestNo"/>
    <tableColumn id="44" name="InvoiceCurrencyCode"/>
    <tableColumn id="45" name="NegotiatedExchangeRate"/>
    <tableColumn id="46" name="No"/>
    <tableColumn id="47" name="NoPrinted"/>
    <tableColumn id="48" name="NoSeries"/>
    <tableColumn id="49" name="OnBehalfOf"/>
    <tableColumn id="50" name="OpenApproverCount"/>
    <tableColumn id="51" name="PFNo"/>
    <tableColumn id="52" name="PaidAmount"/>
    <tableColumn id="53" name="PayMode"/>
    <tableColumn id="54" name="Payee"/>
    <tableColumn id="55" name="PayingBankAccount"/>
    <tableColumn id="56" name="PaymentNarration"/>
    <tableColumn id="57" name="PaymentReleaseDate"/>
    <tableColumn id="58" name="PaymentScheduleNo"/>
    <tableColumn id="59" name="PaymentType"/>
    <tableColumn id="60" name="Posted"/>
    <tableColumn id="61" name="PostedBy"/>
    <tableColumn id="62" name="PostedCount"/>
    <tableColumn id="63" name="ReferenceNo"/>
    <tableColumn id="64" name="RegisterNumber"/>
    <tableColumn id="65" name="RequestType"/>
    <tableColumn id="66" name="ResponsibilityCenter"/>
    <tableColumn id="67" name="Reversed"/>
    <tableColumn id="68" name="ReversedPV"/>
    <tableColumn id="69" name="SalesPerson"/>
    <tableColumn id="70" name="Select"/>
    <tableColumn id="71" name="ShiftNo"/>
    <tableColumn id="72" name="ShortcutDimension2Code"/>
    <tableColumn id="73" name="ShortcutDimension3Code"/>
    <tableColumn id="74" name="ShortcutDimension4Code"/>
    <tableColumn id="75" name="ShortcutDimension5Code"/>
    <tableColumn id="76" name="Status"/>
    <tableColumn id="77" name="SystemCreatedAt"/>
    <tableColumn id="78" name="SystemCreatedBy"/>
    <tableColumn id="79" name="SystemId"/>
    <tableColumn id="80" name="SystemModifiedAt"/>
    <tableColumn id="81" name="SystemModifiedBy"/>
    <tableColumn id="82" name="TimePosted"/>
    <tableColumn id="83" name="ToEntryNo"/>
    <tableColumn id="84" name="TotalNetAmount"/>
    <tableColumn id="85" name="TotalPAYEAmount"/>
    <tableColumn id="86" name="TotalPaymentAmount"/>
    <tableColumn id="87" name="TotalPaymentAmountLCY"/>
    <tableColumn id="88" name="TotalRetentionAmount"/>
    <tableColumn id="89" name="TotalVATAmount"/>
    <tableColumn id="90" name="TotalVATWithholdingAmount"/>
    <tableColumn id="91" name="TotalWitholdingTaxAmount"/>
    <tableColumn id="92" name="VATBaseAmount"/>
    <tableColumn id="93" name="VendorName"/>
    <tableColumn id="94" name="VendorN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ranslationData" displayName="TranslationData" ref="A1:C2" totalsRowShown="0">
  <autoFilter ref="A1:C2"/>
  <tableColumns count="3">
    <tableColumn id="1" name="CaptionKey"/>
    <tableColumn id="2" name="Language"/>
    <tableColumn id="3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CaptionData" displayName="CaptionData" ref="A1:B2" totalsRowShown="0">
  <autoFilter ref="A1:B2"/>
  <tableColumns count="2">
    <tableColumn id="1" name="Caption"/>
    <tableColumn id="2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ReportMetadataValues" displayName="ReportMetadataValues" ref="A1:B11" totalsRowShown="0" headerRowDxfId="3">
  <autoFilter ref="A1:B11"/>
  <tableColumns count="2">
    <tableColumn id="1" name="Report Property"/>
    <tableColumn id="2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6" name="ReportRequestValues" displayName="ReportRequestValues" ref="D1:E17" totalsRowShown="0" headerRowDxfId="2">
  <autoFilter ref="D1:E17"/>
  <tableColumns count="2">
    <tableColumn id="1" name="Request Property"/>
    <tableColumn id="2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ReportRequestPageValues" displayName="ReportRequestPageValues" ref="G1:H2" totalsRowShown="0" headerRowDxfId="1">
  <autoFilter ref="G1:H2"/>
  <tableColumns count="2">
    <tableColumn id="1" name="Request Page Option"/>
    <tableColumn id="2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ReportFilterValues" displayName="ReportFilterValues" ref="J1:K2" totalsRowShown="0" headerRowDxfId="0">
  <autoFilter ref="J1:K2"/>
  <tableColumns count="2">
    <tableColumn id="1" name="Filter"/>
    <tableColumn id="2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opLeftCell="A18" workbookViewId="0">
      <selection activeCell="D6" sqref="D6:E6"/>
    </sheetView>
  </sheetViews>
  <sheetFormatPr defaultColWidth="9.15234375" defaultRowHeight="18" x14ac:dyDescent="0.45"/>
  <cols>
    <col min="1" max="1" width="4.15234375" style="7" customWidth="1"/>
    <col min="2" max="2" width="6.3046875" style="175" customWidth="1"/>
    <col min="3" max="3" width="16.69140625" style="175" bestFit="1" customWidth="1"/>
    <col min="4" max="4" width="3.84375" style="175" hidden="1" customWidth="1"/>
    <col min="5" max="5" width="53.69140625" style="16" customWidth="1"/>
    <col min="6" max="6" width="12.15234375" style="16" customWidth="1"/>
    <col min="7" max="7" width="8.69140625" style="16" customWidth="1"/>
    <col min="8" max="8" width="5.15234375" style="16" customWidth="1"/>
    <col min="9" max="9" width="0.3828125" style="16" hidden="1" customWidth="1"/>
    <col min="10" max="10" width="4.69140625" style="176" customWidth="1"/>
    <col min="11" max="11" width="10.53515625" style="176" customWidth="1"/>
    <col min="12" max="12" width="1.15234375" style="16" customWidth="1"/>
    <col min="13" max="13" width="16.3046875" style="176" customWidth="1"/>
    <col min="14" max="14" width="11.3828125" style="16" bestFit="1" customWidth="1"/>
    <col min="15" max="15" width="35" style="175" hidden="1" customWidth="1"/>
    <col min="16" max="16" width="14.84375" style="181" customWidth="1"/>
    <col min="17" max="17" width="3.53515625" style="182" customWidth="1"/>
    <col min="18" max="18" width="2.15234375" style="182" customWidth="1"/>
    <col min="19" max="19" width="9.3046875" style="16" customWidth="1"/>
    <col min="20" max="20" width="20.69140625" style="16" bestFit="1" customWidth="1"/>
    <col min="21" max="21" width="11.53515625" style="16" customWidth="1"/>
    <col min="22" max="22" width="18.69140625" style="16" customWidth="1"/>
    <col min="23" max="23" width="19.3046875" style="180" bestFit="1" customWidth="1"/>
    <col min="24" max="24" width="25.3828125" style="15" customWidth="1"/>
    <col min="25" max="256" width="9.15234375" style="16"/>
    <col min="257" max="257" width="4.15234375" style="16" customWidth="1"/>
    <col min="258" max="258" width="6.3046875" style="16" customWidth="1"/>
    <col min="259" max="259" width="16.69140625" style="16" bestFit="1" customWidth="1"/>
    <col min="260" max="260" width="0" style="16" hidden="1" customWidth="1"/>
    <col min="261" max="261" width="53.69140625" style="16" customWidth="1"/>
    <col min="262" max="262" width="12.15234375" style="16" customWidth="1"/>
    <col min="263" max="263" width="8.69140625" style="16" customWidth="1"/>
    <col min="264" max="264" width="5.15234375" style="16" customWidth="1"/>
    <col min="265" max="265" width="0" style="16" hidden="1" customWidth="1"/>
    <col min="266" max="266" width="4.69140625" style="16" customWidth="1"/>
    <col min="267" max="267" width="10.53515625" style="16" customWidth="1"/>
    <col min="268" max="268" width="1.15234375" style="16" customWidth="1"/>
    <col min="269" max="269" width="16.3046875" style="16" customWidth="1"/>
    <col min="270" max="270" width="11.3828125" style="16" bestFit="1" customWidth="1"/>
    <col min="271" max="271" width="0" style="16" hidden="1" customWidth="1"/>
    <col min="272" max="272" width="14.84375" style="16" customWidth="1"/>
    <col min="273" max="273" width="3.53515625" style="16" customWidth="1"/>
    <col min="274" max="274" width="2.15234375" style="16" customWidth="1"/>
    <col min="275" max="275" width="9.3046875" style="16" customWidth="1"/>
    <col min="276" max="276" width="20.69140625" style="16" bestFit="1" customWidth="1"/>
    <col min="277" max="277" width="11.53515625" style="16" customWidth="1"/>
    <col min="278" max="278" width="18.69140625" style="16" customWidth="1"/>
    <col min="279" max="279" width="19.3046875" style="16" bestFit="1" customWidth="1"/>
    <col min="280" max="280" width="25.3828125" style="16" customWidth="1"/>
    <col min="281" max="512" width="9.15234375" style="16"/>
    <col min="513" max="513" width="4.15234375" style="16" customWidth="1"/>
    <col min="514" max="514" width="6.3046875" style="16" customWidth="1"/>
    <col min="515" max="515" width="16.69140625" style="16" bestFit="1" customWidth="1"/>
    <col min="516" max="516" width="0" style="16" hidden="1" customWidth="1"/>
    <col min="517" max="517" width="53.69140625" style="16" customWidth="1"/>
    <col min="518" max="518" width="12.15234375" style="16" customWidth="1"/>
    <col min="519" max="519" width="8.69140625" style="16" customWidth="1"/>
    <col min="520" max="520" width="5.15234375" style="16" customWidth="1"/>
    <col min="521" max="521" width="0" style="16" hidden="1" customWidth="1"/>
    <col min="522" max="522" width="4.69140625" style="16" customWidth="1"/>
    <col min="523" max="523" width="10.53515625" style="16" customWidth="1"/>
    <col min="524" max="524" width="1.15234375" style="16" customWidth="1"/>
    <col min="525" max="525" width="16.3046875" style="16" customWidth="1"/>
    <col min="526" max="526" width="11.3828125" style="16" bestFit="1" customWidth="1"/>
    <col min="527" max="527" width="0" style="16" hidden="1" customWidth="1"/>
    <col min="528" max="528" width="14.84375" style="16" customWidth="1"/>
    <col min="529" max="529" width="3.53515625" style="16" customWidth="1"/>
    <col min="530" max="530" width="2.15234375" style="16" customWidth="1"/>
    <col min="531" max="531" width="9.3046875" style="16" customWidth="1"/>
    <col min="532" max="532" width="20.69140625" style="16" bestFit="1" customWidth="1"/>
    <col min="533" max="533" width="11.53515625" style="16" customWidth="1"/>
    <col min="534" max="534" width="18.69140625" style="16" customWidth="1"/>
    <col min="535" max="535" width="19.3046875" style="16" bestFit="1" customWidth="1"/>
    <col min="536" max="536" width="25.3828125" style="16" customWidth="1"/>
    <col min="537" max="768" width="9.15234375" style="16"/>
    <col min="769" max="769" width="4.15234375" style="16" customWidth="1"/>
    <col min="770" max="770" width="6.3046875" style="16" customWidth="1"/>
    <col min="771" max="771" width="16.69140625" style="16" bestFit="1" customWidth="1"/>
    <col min="772" max="772" width="0" style="16" hidden="1" customWidth="1"/>
    <col min="773" max="773" width="53.69140625" style="16" customWidth="1"/>
    <col min="774" max="774" width="12.15234375" style="16" customWidth="1"/>
    <col min="775" max="775" width="8.69140625" style="16" customWidth="1"/>
    <col min="776" max="776" width="5.15234375" style="16" customWidth="1"/>
    <col min="777" max="777" width="0" style="16" hidden="1" customWidth="1"/>
    <col min="778" max="778" width="4.69140625" style="16" customWidth="1"/>
    <col min="779" max="779" width="10.53515625" style="16" customWidth="1"/>
    <col min="780" max="780" width="1.15234375" style="16" customWidth="1"/>
    <col min="781" max="781" width="16.3046875" style="16" customWidth="1"/>
    <col min="782" max="782" width="11.3828125" style="16" bestFit="1" customWidth="1"/>
    <col min="783" max="783" width="0" style="16" hidden="1" customWidth="1"/>
    <col min="784" max="784" width="14.84375" style="16" customWidth="1"/>
    <col min="785" max="785" width="3.53515625" style="16" customWidth="1"/>
    <col min="786" max="786" width="2.15234375" style="16" customWidth="1"/>
    <col min="787" max="787" width="9.3046875" style="16" customWidth="1"/>
    <col min="788" max="788" width="20.69140625" style="16" bestFit="1" customWidth="1"/>
    <col min="789" max="789" width="11.53515625" style="16" customWidth="1"/>
    <col min="790" max="790" width="18.69140625" style="16" customWidth="1"/>
    <col min="791" max="791" width="19.3046875" style="16" bestFit="1" customWidth="1"/>
    <col min="792" max="792" width="25.3828125" style="16" customWidth="1"/>
    <col min="793" max="1024" width="9.15234375" style="16"/>
    <col min="1025" max="1025" width="4.15234375" style="16" customWidth="1"/>
    <col min="1026" max="1026" width="6.3046875" style="16" customWidth="1"/>
    <col min="1027" max="1027" width="16.69140625" style="16" bestFit="1" customWidth="1"/>
    <col min="1028" max="1028" width="0" style="16" hidden="1" customWidth="1"/>
    <col min="1029" max="1029" width="53.69140625" style="16" customWidth="1"/>
    <col min="1030" max="1030" width="12.15234375" style="16" customWidth="1"/>
    <col min="1031" max="1031" width="8.69140625" style="16" customWidth="1"/>
    <col min="1032" max="1032" width="5.15234375" style="16" customWidth="1"/>
    <col min="1033" max="1033" width="0" style="16" hidden="1" customWidth="1"/>
    <col min="1034" max="1034" width="4.69140625" style="16" customWidth="1"/>
    <col min="1035" max="1035" width="10.53515625" style="16" customWidth="1"/>
    <col min="1036" max="1036" width="1.15234375" style="16" customWidth="1"/>
    <col min="1037" max="1037" width="16.3046875" style="16" customWidth="1"/>
    <col min="1038" max="1038" width="11.3828125" style="16" bestFit="1" customWidth="1"/>
    <col min="1039" max="1039" width="0" style="16" hidden="1" customWidth="1"/>
    <col min="1040" max="1040" width="14.84375" style="16" customWidth="1"/>
    <col min="1041" max="1041" width="3.53515625" style="16" customWidth="1"/>
    <col min="1042" max="1042" width="2.15234375" style="16" customWidth="1"/>
    <col min="1043" max="1043" width="9.3046875" style="16" customWidth="1"/>
    <col min="1044" max="1044" width="20.69140625" style="16" bestFit="1" customWidth="1"/>
    <col min="1045" max="1045" width="11.53515625" style="16" customWidth="1"/>
    <col min="1046" max="1046" width="18.69140625" style="16" customWidth="1"/>
    <col min="1047" max="1047" width="19.3046875" style="16" bestFit="1" customWidth="1"/>
    <col min="1048" max="1048" width="25.3828125" style="16" customWidth="1"/>
    <col min="1049" max="1280" width="9.15234375" style="16"/>
    <col min="1281" max="1281" width="4.15234375" style="16" customWidth="1"/>
    <col min="1282" max="1282" width="6.3046875" style="16" customWidth="1"/>
    <col min="1283" max="1283" width="16.69140625" style="16" bestFit="1" customWidth="1"/>
    <col min="1284" max="1284" width="0" style="16" hidden="1" customWidth="1"/>
    <col min="1285" max="1285" width="53.69140625" style="16" customWidth="1"/>
    <col min="1286" max="1286" width="12.15234375" style="16" customWidth="1"/>
    <col min="1287" max="1287" width="8.69140625" style="16" customWidth="1"/>
    <col min="1288" max="1288" width="5.15234375" style="16" customWidth="1"/>
    <col min="1289" max="1289" width="0" style="16" hidden="1" customWidth="1"/>
    <col min="1290" max="1290" width="4.69140625" style="16" customWidth="1"/>
    <col min="1291" max="1291" width="10.53515625" style="16" customWidth="1"/>
    <col min="1292" max="1292" width="1.15234375" style="16" customWidth="1"/>
    <col min="1293" max="1293" width="16.3046875" style="16" customWidth="1"/>
    <col min="1294" max="1294" width="11.3828125" style="16" bestFit="1" customWidth="1"/>
    <col min="1295" max="1295" width="0" style="16" hidden="1" customWidth="1"/>
    <col min="1296" max="1296" width="14.84375" style="16" customWidth="1"/>
    <col min="1297" max="1297" width="3.53515625" style="16" customWidth="1"/>
    <col min="1298" max="1298" width="2.15234375" style="16" customWidth="1"/>
    <col min="1299" max="1299" width="9.3046875" style="16" customWidth="1"/>
    <col min="1300" max="1300" width="20.69140625" style="16" bestFit="1" customWidth="1"/>
    <col min="1301" max="1301" width="11.53515625" style="16" customWidth="1"/>
    <col min="1302" max="1302" width="18.69140625" style="16" customWidth="1"/>
    <col min="1303" max="1303" width="19.3046875" style="16" bestFit="1" customWidth="1"/>
    <col min="1304" max="1304" width="25.3828125" style="16" customWidth="1"/>
    <col min="1305" max="1536" width="9.15234375" style="16"/>
    <col min="1537" max="1537" width="4.15234375" style="16" customWidth="1"/>
    <col min="1538" max="1538" width="6.3046875" style="16" customWidth="1"/>
    <col min="1539" max="1539" width="16.69140625" style="16" bestFit="1" customWidth="1"/>
    <col min="1540" max="1540" width="0" style="16" hidden="1" customWidth="1"/>
    <col min="1541" max="1541" width="53.69140625" style="16" customWidth="1"/>
    <col min="1542" max="1542" width="12.15234375" style="16" customWidth="1"/>
    <col min="1543" max="1543" width="8.69140625" style="16" customWidth="1"/>
    <col min="1544" max="1544" width="5.15234375" style="16" customWidth="1"/>
    <col min="1545" max="1545" width="0" style="16" hidden="1" customWidth="1"/>
    <col min="1546" max="1546" width="4.69140625" style="16" customWidth="1"/>
    <col min="1547" max="1547" width="10.53515625" style="16" customWidth="1"/>
    <col min="1548" max="1548" width="1.15234375" style="16" customWidth="1"/>
    <col min="1549" max="1549" width="16.3046875" style="16" customWidth="1"/>
    <col min="1550" max="1550" width="11.3828125" style="16" bestFit="1" customWidth="1"/>
    <col min="1551" max="1551" width="0" style="16" hidden="1" customWidth="1"/>
    <col min="1552" max="1552" width="14.84375" style="16" customWidth="1"/>
    <col min="1553" max="1553" width="3.53515625" style="16" customWidth="1"/>
    <col min="1554" max="1554" width="2.15234375" style="16" customWidth="1"/>
    <col min="1555" max="1555" width="9.3046875" style="16" customWidth="1"/>
    <col min="1556" max="1556" width="20.69140625" style="16" bestFit="1" customWidth="1"/>
    <col min="1557" max="1557" width="11.53515625" style="16" customWidth="1"/>
    <col min="1558" max="1558" width="18.69140625" style="16" customWidth="1"/>
    <col min="1559" max="1559" width="19.3046875" style="16" bestFit="1" customWidth="1"/>
    <col min="1560" max="1560" width="25.3828125" style="16" customWidth="1"/>
    <col min="1561" max="1792" width="9.15234375" style="16"/>
    <col min="1793" max="1793" width="4.15234375" style="16" customWidth="1"/>
    <col min="1794" max="1794" width="6.3046875" style="16" customWidth="1"/>
    <col min="1795" max="1795" width="16.69140625" style="16" bestFit="1" customWidth="1"/>
    <col min="1796" max="1796" width="0" style="16" hidden="1" customWidth="1"/>
    <col min="1797" max="1797" width="53.69140625" style="16" customWidth="1"/>
    <col min="1798" max="1798" width="12.15234375" style="16" customWidth="1"/>
    <col min="1799" max="1799" width="8.69140625" style="16" customWidth="1"/>
    <col min="1800" max="1800" width="5.15234375" style="16" customWidth="1"/>
    <col min="1801" max="1801" width="0" style="16" hidden="1" customWidth="1"/>
    <col min="1802" max="1802" width="4.69140625" style="16" customWidth="1"/>
    <col min="1803" max="1803" width="10.53515625" style="16" customWidth="1"/>
    <col min="1804" max="1804" width="1.15234375" style="16" customWidth="1"/>
    <col min="1805" max="1805" width="16.3046875" style="16" customWidth="1"/>
    <col min="1806" max="1806" width="11.3828125" style="16" bestFit="1" customWidth="1"/>
    <col min="1807" max="1807" width="0" style="16" hidden="1" customWidth="1"/>
    <col min="1808" max="1808" width="14.84375" style="16" customWidth="1"/>
    <col min="1809" max="1809" width="3.53515625" style="16" customWidth="1"/>
    <col min="1810" max="1810" width="2.15234375" style="16" customWidth="1"/>
    <col min="1811" max="1811" width="9.3046875" style="16" customWidth="1"/>
    <col min="1812" max="1812" width="20.69140625" style="16" bestFit="1" customWidth="1"/>
    <col min="1813" max="1813" width="11.53515625" style="16" customWidth="1"/>
    <col min="1814" max="1814" width="18.69140625" style="16" customWidth="1"/>
    <col min="1815" max="1815" width="19.3046875" style="16" bestFit="1" customWidth="1"/>
    <col min="1816" max="1816" width="25.3828125" style="16" customWidth="1"/>
    <col min="1817" max="2048" width="9.15234375" style="16"/>
    <col min="2049" max="2049" width="4.15234375" style="16" customWidth="1"/>
    <col min="2050" max="2050" width="6.3046875" style="16" customWidth="1"/>
    <col min="2051" max="2051" width="16.69140625" style="16" bestFit="1" customWidth="1"/>
    <col min="2052" max="2052" width="0" style="16" hidden="1" customWidth="1"/>
    <col min="2053" max="2053" width="53.69140625" style="16" customWidth="1"/>
    <col min="2054" max="2054" width="12.15234375" style="16" customWidth="1"/>
    <col min="2055" max="2055" width="8.69140625" style="16" customWidth="1"/>
    <col min="2056" max="2056" width="5.15234375" style="16" customWidth="1"/>
    <col min="2057" max="2057" width="0" style="16" hidden="1" customWidth="1"/>
    <col min="2058" max="2058" width="4.69140625" style="16" customWidth="1"/>
    <col min="2059" max="2059" width="10.53515625" style="16" customWidth="1"/>
    <col min="2060" max="2060" width="1.15234375" style="16" customWidth="1"/>
    <col min="2061" max="2061" width="16.3046875" style="16" customWidth="1"/>
    <col min="2062" max="2062" width="11.3828125" style="16" bestFit="1" customWidth="1"/>
    <col min="2063" max="2063" width="0" style="16" hidden="1" customWidth="1"/>
    <col min="2064" max="2064" width="14.84375" style="16" customWidth="1"/>
    <col min="2065" max="2065" width="3.53515625" style="16" customWidth="1"/>
    <col min="2066" max="2066" width="2.15234375" style="16" customWidth="1"/>
    <col min="2067" max="2067" width="9.3046875" style="16" customWidth="1"/>
    <col min="2068" max="2068" width="20.69140625" style="16" bestFit="1" customWidth="1"/>
    <col min="2069" max="2069" width="11.53515625" style="16" customWidth="1"/>
    <col min="2070" max="2070" width="18.69140625" style="16" customWidth="1"/>
    <col min="2071" max="2071" width="19.3046875" style="16" bestFit="1" customWidth="1"/>
    <col min="2072" max="2072" width="25.3828125" style="16" customWidth="1"/>
    <col min="2073" max="2304" width="9.15234375" style="16"/>
    <col min="2305" max="2305" width="4.15234375" style="16" customWidth="1"/>
    <col min="2306" max="2306" width="6.3046875" style="16" customWidth="1"/>
    <col min="2307" max="2307" width="16.69140625" style="16" bestFit="1" customWidth="1"/>
    <col min="2308" max="2308" width="0" style="16" hidden="1" customWidth="1"/>
    <col min="2309" max="2309" width="53.69140625" style="16" customWidth="1"/>
    <col min="2310" max="2310" width="12.15234375" style="16" customWidth="1"/>
    <col min="2311" max="2311" width="8.69140625" style="16" customWidth="1"/>
    <col min="2312" max="2312" width="5.15234375" style="16" customWidth="1"/>
    <col min="2313" max="2313" width="0" style="16" hidden="1" customWidth="1"/>
    <col min="2314" max="2314" width="4.69140625" style="16" customWidth="1"/>
    <col min="2315" max="2315" width="10.53515625" style="16" customWidth="1"/>
    <col min="2316" max="2316" width="1.15234375" style="16" customWidth="1"/>
    <col min="2317" max="2317" width="16.3046875" style="16" customWidth="1"/>
    <col min="2318" max="2318" width="11.3828125" style="16" bestFit="1" customWidth="1"/>
    <col min="2319" max="2319" width="0" style="16" hidden="1" customWidth="1"/>
    <col min="2320" max="2320" width="14.84375" style="16" customWidth="1"/>
    <col min="2321" max="2321" width="3.53515625" style="16" customWidth="1"/>
    <col min="2322" max="2322" width="2.15234375" style="16" customWidth="1"/>
    <col min="2323" max="2323" width="9.3046875" style="16" customWidth="1"/>
    <col min="2324" max="2324" width="20.69140625" style="16" bestFit="1" customWidth="1"/>
    <col min="2325" max="2325" width="11.53515625" style="16" customWidth="1"/>
    <col min="2326" max="2326" width="18.69140625" style="16" customWidth="1"/>
    <col min="2327" max="2327" width="19.3046875" style="16" bestFit="1" customWidth="1"/>
    <col min="2328" max="2328" width="25.3828125" style="16" customWidth="1"/>
    <col min="2329" max="2560" width="9.15234375" style="16"/>
    <col min="2561" max="2561" width="4.15234375" style="16" customWidth="1"/>
    <col min="2562" max="2562" width="6.3046875" style="16" customWidth="1"/>
    <col min="2563" max="2563" width="16.69140625" style="16" bestFit="1" customWidth="1"/>
    <col min="2564" max="2564" width="0" style="16" hidden="1" customWidth="1"/>
    <col min="2565" max="2565" width="53.69140625" style="16" customWidth="1"/>
    <col min="2566" max="2566" width="12.15234375" style="16" customWidth="1"/>
    <col min="2567" max="2567" width="8.69140625" style="16" customWidth="1"/>
    <col min="2568" max="2568" width="5.15234375" style="16" customWidth="1"/>
    <col min="2569" max="2569" width="0" style="16" hidden="1" customWidth="1"/>
    <col min="2570" max="2570" width="4.69140625" style="16" customWidth="1"/>
    <col min="2571" max="2571" width="10.53515625" style="16" customWidth="1"/>
    <col min="2572" max="2572" width="1.15234375" style="16" customWidth="1"/>
    <col min="2573" max="2573" width="16.3046875" style="16" customWidth="1"/>
    <col min="2574" max="2574" width="11.3828125" style="16" bestFit="1" customWidth="1"/>
    <col min="2575" max="2575" width="0" style="16" hidden="1" customWidth="1"/>
    <col min="2576" max="2576" width="14.84375" style="16" customWidth="1"/>
    <col min="2577" max="2577" width="3.53515625" style="16" customWidth="1"/>
    <col min="2578" max="2578" width="2.15234375" style="16" customWidth="1"/>
    <col min="2579" max="2579" width="9.3046875" style="16" customWidth="1"/>
    <col min="2580" max="2580" width="20.69140625" style="16" bestFit="1" customWidth="1"/>
    <col min="2581" max="2581" width="11.53515625" style="16" customWidth="1"/>
    <col min="2582" max="2582" width="18.69140625" style="16" customWidth="1"/>
    <col min="2583" max="2583" width="19.3046875" style="16" bestFit="1" customWidth="1"/>
    <col min="2584" max="2584" width="25.3828125" style="16" customWidth="1"/>
    <col min="2585" max="2816" width="9.15234375" style="16"/>
    <col min="2817" max="2817" width="4.15234375" style="16" customWidth="1"/>
    <col min="2818" max="2818" width="6.3046875" style="16" customWidth="1"/>
    <col min="2819" max="2819" width="16.69140625" style="16" bestFit="1" customWidth="1"/>
    <col min="2820" max="2820" width="0" style="16" hidden="1" customWidth="1"/>
    <col min="2821" max="2821" width="53.69140625" style="16" customWidth="1"/>
    <col min="2822" max="2822" width="12.15234375" style="16" customWidth="1"/>
    <col min="2823" max="2823" width="8.69140625" style="16" customWidth="1"/>
    <col min="2824" max="2824" width="5.15234375" style="16" customWidth="1"/>
    <col min="2825" max="2825" width="0" style="16" hidden="1" customWidth="1"/>
    <col min="2826" max="2826" width="4.69140625" style="16" customWidth="1"/>
    <col min="2827" max="2827" width="10.53515625" style="16" customWidth="1"/>
    <col min="2828" max="2828" width="1.15234375" style="16" customWidth="1"/>
    <col min="2829" max="2829" width="16.3046875" style="16" customWidth="1"/>
    <col min="2830" max="2830" width="11.3828125" style="16" bestFit="1" customWidth="1"/>
    <col min="2831" max="2831" width="0" style="16" hidden="1" customWidth="1"/>
    <col min="2832" max="2832" width="14.84375" style="16" customWidth="1"/>
    <col min="2833" max="2833" width="3.53515625" style="16" customWidth="1"/>
    <col min="2834" max="2834" width="2.15234375" style="16" customWidth="1"/>
    <col min="2835" max="2835" width="9.3046875" style="16" customWidth="1"/>
    <col min="2836" max="2836" width="20.69140625" style="16" bestFit="1" customWidth="1"/>
    <col min="2837" max="2837" width="11.53515625" style="16" customWidth="1"/>
    <col min="2838" max="2838" width="18.69140625" style="16" customWidth="1"/>
    <col min="2839" max="2839" width="19.3046875" style="16" bestFit="1" customWidth="1"/>
    <col min="2840" max="2840" width="25.3828125" style="16" customWidth="1"/>
    <col min="2841" max="3072" width="9.15234375" style="16"/>
    <col min="3073" max="3073" width="4.15234375" style="16" customWidth="1"/>
    <col min="3074" max="3074" width="6.3046875" style="16" customWidth="1"/>
    <col min="3075" max="3075" width="16.69140625" style="16" bestFit="1" customWidth="1"/>
    <col min="3076" max="3076" width="0" style="16" hidden="1" customWidth="1"/>
    <col min="3077" max="3077" width="53.69140625" style="16" customWidth="1"/>
    <col min="3078" max="3078" width="12.15234375" style="16" customWidth="1"/>
    <col min="3079" max="3079" width="8.69140625" style="16" customWidth="1"/>
    <col min="3080" max="3080" width="5.15234375" style="16" customWidth="1"/>
    <col min="3081" max="3081" width="0" style="16" hidden="1" customWidth="1"/>
    <col min="3082" max="3082" width="4.69140625" style="16" customWidth="1"/>
    <col min="3083" max="3083" width="10.53515625" style="16" customWidth="1"/>
    <col min="3084" max="3084" width="1.15234375" style="16" customWidth="1"/>
    <col min="3085" max="3085" width="16.3046875" style="16" customWidth="1"/>
    <col min="3086" max="3086" width="11.3828125" style="16" bestFit="1" customWidth="1"/>
    <col min="3087" max="3087" width="0" style="16" hidden="1" customWidth="1"/>
    <col min="3088" max="3088" width="14.84375" style="16" customWidth="1"/>
    <col min="3089" max="3089" width="3.53515625" style="16" customWidth="1"/>
    <col min="3090" max="3090" width="2.15234375" style="16" customWidth="1"/>
    <col min="3091" max="3091" width="9.3046875" style="16" customWidth="1"/>
    <col min="3092" max="3092" width="20.69140625" style="16" bestFit="1" customWidth="1"/>
    <col min="3093" max="3093" width="11.53515625" style="16" customWidth="1"/>
    <col min="3094" max="3094" width="18.69140625" style="16" customWidth="1"/>
    <col min="3095" max="3095" width="19.3046875" style="16" bestFit="1" customWidth="1"/>
    <col min="3096" max="3096" width="25.3828125" style="16" customWidth="1"/>
    <col min="3097" max="3328" width="9.15234375" style="16"/>
    <col min="3329" max="3329" width="4.15234375" style="16" customWidth="1"/>
    <col min="3330" max="3330" width="6.3046875" style="16" customWidth="1"/>
    <col min="3331" max="3331" width="16.69140625" style="16" bestFit="1" customWidth="1"/>
    <col min="3332" max="3332" width="0" style="16" hidden="1" customWidth="1"/>
    <col min="3333" max="3333" width="53.69140625" style="16" customWidth="1"/>
    <col min="3334" max="3334" width="12.15234375" style="16" customWidth="1"/>
    <col min="3335" max="3335" width="8.69140625" style="16" customWidth="1"/>
    <col min="3336" max="3336" width="5.15234375" style="16" customWidth="1"/>
    <col min="3337" max="3337" width="0" style="16" hidden="1" customWidth="1"/>
    <col min="3338" max="3338" width="4.69140625" style="16" customWidth="1"/>
    <col min="3339" max="3339" width="10.53515625" style="16" customWidth="1"/>
    <col min="3340" max="3340" width="1.15234375" style="16" customWidth="1"/>
    <col min="3341" max="3341" width="16.3046875" style="16" customWidth="1"/>
    <col min="3342" max="3342" width="11.3828125" style="16" bestFit="1" customWidth="1"/>
    <col min="3343" max="3343" width="0" style="16" hidden="1" customWidth="1"/>
    <col min="3344" max="3344" width="14.84375" style="16" customWidth="1"/>
    <col min="3345" max="3345" width="3.53515625" style="16" customWidth="1"/>
    <col min="3346" max="3346" width="2.15234375" style="16" customWidth="1"/>
    <col min="3347" max="3347" width="9.3046875" style="16" customWidth="1"/>
    <col min="3348" max="3348" width="20.69140625" style="16" bestFit="1" customWidth="1"/>
    <col min="3349" max="3349" width="11.53515625" style="16" customWidth="1"/>
    <col min="3350" max="3350" width="18.69140625" style="16" customWidth="1"/>
    <col min="3351" max="3351" width="19.3046875" style="16" bestFit="1" customWidth="1"/>
    <col min="3352" max="3352" width="25.3828125" style="16" customWidth="1"/>
    <col min="3353" max="3584" width="9.15234375" style="16"/>
    <col min="3585" max="3585" width="4.15234375" style="16" customWidth="1"/>
    <col min="3586" max="3586" width="6.3046875" style="16" customWidth="1"/>
    <col min="3587" max="3587" width="16.69140625" style="16" bestFit="1" customWidth="1"/>
    <col min="3588" max="3588" width="0" style="16" hidden="1" customWidth="1"/>
    <col min="3589" max="3589" width="53.69140625" style="16" customWidth="1"/>
    <col min="3590" max="3590" width="12.15234375" style="16" customWidth="1"/>
    <col min="3591" max="3591" width="8.69140625" style="16" customWidth="1"/>
    <col min="3592" max="3592" width="5.15234375" style="16" customWidth="1"/>
    <col min="3593" max="3593" width="0" style="16" hidden="1" customWidth="1"/>
    <col min="3594" max="3594" width="4.69140625" style="16" customWidth="1"/>
    <col min="3595" max="3595" width="10.53515625" style="16" customWidth="1"/>
    <col min="3596" max="3596" width="1.15234375" style="16" customWidth="1"/>
    <col min="3597" max="3597" width="16.3046875" style="16" customWidth="1"/>
    <col min="3598" max="3598" width="11.3828125" style="16" bestFit="1" customWidth="1"/>
    <col min="3599" max="3599" width="0" style="16" hidden="1" customWidth="1"/>
    <col min="3600" max="3600" width="14.84375" style="16" customWidth="1"/>
    <col min="3601" max="3601" width="3.53515625" style="16" customWidth="1"/>
    <col min="3602" max="3602" width="2.15234375" style="16" customWidth="1"/>
    <col min="3603" max="3603" width="9.3046875" style="16" customWidth="1"/>
    <col min="3604" max="3604" width="20.69140625" style="16" bestFit="1" customWidth="1"/>
    <col min="3605" max="3605" width="11.53515625" style="16" customWidth="1"/>
    <col min="3606" max="3606" width="18.69140625" style="16" customWidth="1"/>
    <col min="3607" max="3607" width="19.3046875" style="16" bestFit="1" customWidth="1"/>
    <col min="3608" max="3608" width="25.3828125" style="16" customWidth="1"/>
    <col min="3609" max="3840" width="9.15234375" style="16"/>
    <col min="3841" max="3841" width="4.15234375" style="16" customWidth="1"/>
    <col min="3842" max="3842" width="6.3046875" style="16" customWidth="1"/>
    <col min="3843" max="3843" width="16.69140625" style="16" bestFit="1" customWidth="1"/>
    <col min="3844" max="3844" width="0" style="16" hidden="1" customWidth="1"/>
    <col min="3845" max="3845" width="53.69140625" style="16" customWidth="1"/>
    <col min="3846" max="3846" width="12.15234375" style="16" customWidth="1"/>
    <col min="3847" max="3847" width="8.69140625" style="16" customWidth="1"/>
    <col min="3848" max="3848" width="5.15234375" style="16" customWidth="1"/>
    <col min="3849" max="3849" width="0" style="16" hidden="1" customWidth="1"/>
    <col min="3850" max="3850" width="4.69140625" style="16" customWidth="1"/>
    <col min="3851" max="3851" width="10.53515625" style="16" customWidth="1"/>
    <col min="3852" max="3852" width="1.15234375" style="16" customWidth="1"/>
    <col min="3853" max="3853" width="16.3046875" style="16" customWidth="1"/>
    <col min="3854" max="3854" width="11.3828125" style="16" bestFit="1" customWidth="1"/>
    <col min="3855" max="3855" width="0" style="16" hidden="1" customWidth="1"/>
    <col min="3856" max="3856" width="14.84375" style="16" customWidth="1"/>
    <col min="3857" max="3857" width="3.53515625" style="16" customWidth="1"/>
    <col min="3858" max="3858" width="2.15234375" style="16" customWidth="1"/>
    <col min="3859" max="3859" width="9.3046875" style="16" customWidth="1"/>
    <col min="3860" max="3860" width="20.69140625" style="16" bestFit="1" customWidth="1"/>
    <col min="3861" max="3861" width="11.53515625" style="16" customWidth="1"/>
    <col min="3862" max="3862" width="18.69140625" style="16" customWidth="1"/>
    <col min="3863" max="3863" width="19.3046875" style="16" bestFit="1" customWidth="1"/>
    <col min="3864" max="3864" width="25.3828125" style="16" customWidth="1"/>
    <col min="3865" max="4096" width="9.15234375" style="16"/>
    <col min="4097" max="4097" width="4.15234375" style="16" customWidth="1"/>
    <col min="4098" max="4098" width="6.3046875" style="16" customWidth="1"/>
    <col min="4099" max="4099" width="16.69140625" style="16" bestFit="1" customWidth="1"/>
    <col min="4100" max="4100" width="0" style="16" hidden="1" customWidth="1"/>
    <col min="4101" max="4101" width="53.69140625" style="16" customWidth="1"/>
    <col min="4102" max="4102" width="12.15234375" style="16" customWidth="1"/>
    <col min="4103" max="4103" width="8.69140625" style="16" customWidth="1"/>
    <col min="4104" max="4104" width="5.15234375" style="16" customWidth="1"/>
    <col min="4105" max="4105" width="0" style="16" hidden="1" customWidth="1"/>
    <col min="4106" max="4106" width="4.69140625" style="16" customWidth="1"/>
    <col min="4107" max="4107" width="10.53515625" style="16" customWidth="1"/>
    <col min="4108" max="4108" width="1.15234375" style="16" customWidth="1"/>
    <col min="4109" max="4109" width="16.3046875" style="16" customWidth="1"/>
    <col min="4110" max="4110" width="11.3828125" style="16" bestFit="1" customWidth="1"/>
    <col min="4111" max="4111" width="0" style="16" hidden="1" customWidth="1"/>
    <col min="4112" max="4112" width="14.84375" style="16" customWidth="1"/>
    <col min="4113" max="4113" width="3.53515625" style="16" customWidth="1"/>
    <col min="4114" max="4114" width="2.15234375" style="16" customWidth="1"/>
    <col min="4115" max="4115" width="9.3046875" style="16" customWidth="1"/>
    <col min="4116" max="4116" width="20.69140625" style="16" bestFit="1" customWidth="1"/>
    <col min="4117" max="4117" width="11.53515625" style="16" customWidth="1"/>
    <col min="4118" max="4118" width="18.69140625" style="16" customWidth="1"/>
    <col min="4119" max="4119" width="19.3046875" style="16" bestFit="1" customWidth="1"/>
    <col min="4120" max="4120" width="25.3828125" style="16" customWidth="1"/>
    <col min="4121" max="4352" width="9.15234375" style="16"/>
    <col min="4353" max="4353" width="4.15234375" style="16" customWidth="1"/>
    <col min="4354" max="4354" width="6.3046875" style="16" customWidth="1"/>
    <col min="4355" max="4355" width="16.69140625" style="16" bestFit="1" customWidth="1"/>
    <col min="4356" max="4356" width="0" style="16" hidden="1" customWidth="1"/>
    <col min="4357" max="4357" width="53.69140625" style="16" customWidth="1"/>
    <col min="4358" max="4358" width="12.15234375" style="16" customWidth="1"/>
    <col min="4359" max="4359" width="8.69140625" style="16" customWidth="1"/>
    <col min="4360" max="4360" width="5.15234375" style="16" customWidth="1"/>
    <col min="4361" max="4361" width="0" style="16" hidden="1" customWidth="1"/>
    <col min="4362" max="4362" width="4.69140625" style="16" customWidth="1"/>
    <col min="4363" max="4363" width="10.53515625" style="16" customWidth="1"/>
    <col min="4364" max="4364" width="1.15234375" style="16" customWidth="1"/>
    <col min="4365" max="4365" width="16.3046875" style="16" customWidth="1"/>
    <col min="4366" max="4366" width="11.3828125" style="16" bestFit="1" customWidth="1"/>
    <col min="4367" max="4367" width="0" style="16" hidden="1" customWidth="1"/>
    <col min="4368" max="4368" width="14.84375" style="16" customWidth="1"/>
    <col min="4369" max="4369" width="3.53515625" style="16" customWidth="1"/>
    <col min="4370" max="4370" width="2.15234375" style="16" customWidth="1"/>
    <col min="4371" max="4371" width="9.3046875" style="16" customWidth="1"/>
    <col min="4372" max="4372" width="20.69140625" style="16" bestFit="1" customWidth="1"/>
    <col min="4373" max="4373" width="11.53515625" style="16" customWidth="1"/>
    <col min="4374" max="4374" width="18.69140625" style="16" customWidth="1"/>
    <col min="4375" max="4375" width="19.3046875" style="16" bestFit="1" customWidth="1"/>
    <col min="4376" max="4376" width="25.3828125" style="16" customWidth="1"/>
    <col min="4377" max="4608" width="9.15234375" style="16"/>
    <col min="4609" max="4609" width="4.15234375" style="16" customWidth="1"/>
    <col min="4610" max="4610" width="6.3046875" style="16" customWidth="1"/>
    <col min="4611" max="4611" width="16.69140625" style="16" bestFit="1" customWidth="1"/>
    <col min="4612" max="4612" width="0" style="16" hidden="1" customWidth="1"/>
    <col min="4613" max="4613" width="53.69140625" style="16" customWidth="1"/>
    <col min="4614" max="4614" width="12.15234375" style="16" customWidth="1"/>
    <col min="4615" max="4615" width="8.69140625" style="16" customWidth="1"/>
    <col min="4616" max="4616" width="5.15234375" style="16" customWidth="1"/>
    <col min="4617" max="4617" width="0" style="16" hidden="1" customWidth="1"/>
    <col min="4618" max="4618" width="4.69140625" style="16" customWidth="1"/>
    <col min="4619" max="4619" width="10.53515625" style="16" customWidth="1"/>
    <col min="4620" max="4620" width="1.15234375" style="16" customWidth="1"/>
    <col min="4621" max="4621" width="16.3046875" style="16" customWidth="1"/>
    <col min="4622" max="4622" width="11.3828125" style="16" bestFit="1" customWidth="1"/>
    <col min="4623" max="4623" width="0" style="16" hidden="1" customWidth="1"/>
    <col min="4624" max="4624" width="14.84375" style="16" customWidth="1"/>
    <col min="4625" max="4625" width="3.53515625" style="16" customWidth="1"/>
    <col min="4626" max="4626" width="2.15234375" style="16" customWidth="1"/>
    <col min="4627" max="4627" width="9.3046875" style="16" customWidth="1"/>
    <col min="4628" max="4628" width="20.69140625" style="16" bestFit="1" customWidth="1"/>
    <col min="4629" max="4629" width="11.53515625" style="16" customWidth="1"/>
    <col min="4630" max="4630" width="18.69140625" style="16" customWidth="1"/>
    <col min="4631" max="4631" width="19.3046875" style="16" bestFit="1" customWidth="1"/>
    <col min="4632" max="4632" width="25.3828125" style="16" customWidth="1"/>
    <col min="4633" max="4864" width="9.15234375" style="16"/>
    <col min="4865" max="4865" width="4.15234375" style="16" customWidth="1"/>
    <col min="4866" max="4866" width="6.3046875" style="16" customWidth="1"/>
    <col min="4867" max="4867" width="16.69140625" style="16" bestFit="1" customWidth="1"/>
    <col min="4868" max="4868" width="0" style="16" hidden="1" customWidth="1"/>
    <col min="4869" max="4869" width="53.69140625" style="16" customWidth="1"/>
    <col min="4870" max="4870" width="12.15234375" style="16" customWidth="1"/>
    <col min="4871" max="4871" width="8.69140625" style="16" customWidth="1"/>
    <col min="4872" max="4872" width="5.15234375" style="16" customWidth="1"/>
    <col min="4873" max="4873" width="0" style="16" hidden="1" customWidth="1"/>
    <col min="4874" max="4874" width="4.69140625" style="16" customWidth="1"/>
    <col min="4875" max="4875" width="10.53515625" style="16" customWidth="1"/>
    <col min="4876" max="4876" width="1.15234375" style="16" customWidth="1"/>
    <col min="4877" max="4877" width="16.3046875" style="16" customWidth="1"/>
    <col min="4878" max="4878" width="11.3828125" style="16" bestFit="1" customWidth="1"/>
    <col min="4879" max="4879" width="0" style="16" hidden="1" customWidth="1"/>
    <col min="4880" max="4880" width="14.84375" style="16" customWidth="1"/>
    <col min="4881" max="4881" width="3.53515625" style="16" customWidth="1"/>
    <col min="4882" max="4882" width="2.15234375" style="16" customWidth="1"/>
    <col min="4883" max="4883" width="9.3046875" style="16" customWidth="1"/>
    <col min="4884" max="4884" width="20.69140625" style="16" bestFit="1" customWidth="1"/>
    <col min="4885" max="4885" width="11.53515625" style="16" customWidth="1"/>
    <col min="4886" max="4886" width="18.69140625" style="16" customWidth="1"/>
    <col min="4887" max="4887" width="19.3046875" style="16" bestFit="1" customWidth="1"/>
    <col min="4888" max="4888" width="25.3828125" style="16" customWidth="1"/>
    <col min="4889" max="5120" width="9.15234375" style="16"/>
    <col min="5121" max="5121" width="4.15234375" style="16" customWidth="1"/>
    <col min="5122" max="5122" width="6.3046875" style="16" customWidth="1"/>
    <col min="5123" max="5123" width="16.69140625" style="16" bestFit="1" customWidth="1"/>
    <col min="5124" max="5124" width="0" style="16" hidden="1" customWidth="1"/>
    <col min="5125" max="5125" width="53.69140625" style="16" customWidth="1"/>
    <col min="5126" max="5126" width="12.15234375" style="16" customWidth="1"/>
    <col min="5127" max="5127" width="8.69140625" style="16" customWidth="1"/>
    <col min="5128" max="5128" width="5.15234375" style="16" customWidth="1"/>
    <col min="5129" max="5129" width="0" style="16" hidden="1" customWidth="1"/>
    <col min="5130" max="5130" width="4.69140625" style="16" customWidth="1"/>
    <col min="5131" max="5131" width="10.53515625" style="16" customWidth="1"/>
    <col min="5132" max="5132" width="1.15234375" style="16" customWidth="1"/>
    <col min="5133" max="5133" width="16.3046875" style="16" customWidth="1"/>
    <col min="5134" max="5134" width="11.3828125" style="16" bestFit="1" customWidth="1"/>
    <col min="5135" max="5135" width="0" style="16" hidden="1" customWidth="1"/>
    <col min="5136" max="5136" width="14.84375" style="16" customWidth="1"/>
    <col min="5137" max="5137" width="3.53515625" style="16" customWidth="1"/>
    <col min="5138" max="5138" width="2.15234375" style="16" customWidth="1"/>
    <col min="5139" max="5139" width="9.3046875" style="16" customWidth="1"/>
    <col min="5140" max="5140" width="20.69140625" style="16" bestFit="1" customWidth="1"/>
    <col min="5141" max="5141" width="11.53515625" style="16" customWidth="1"/>
    <col min="5142" max="5142" width="18.69140625" style="16" customWidth="1"/>
    <col min="5143" max="5143" width="19.3046875" style="16" bestFit="1" customWidth="1"/>
    <col min="5144" max="5144" width="25.3828125" style="16" customWidth="1"/>
    <col min="5145" max="5376" width="9.15234375" style="16"/>
    <col min="5377" max="5377" width="4.15234375" style="16" customWidth="1"/>
    <col min="5378" max="5378" width="6.3046875" style="16" customWidth="1"/>
    <col min="5379" max="5379" width="16.69140625" style="16" bestFit="1" customWidth="1"/>
    <col min="5380" max="5380" width="0" style="16" hidden="1" customWidth="1"/>
    <col min="5381" max="5381" width="53.69140625" style="16" customWidth="1"/>
    <col min="5382" max="5382" width="12.15234375" style="16" customWidth="1"/>
    <col min="5383" max="5383" width="8.69140625" style="16" customWidth="1"/>
    <col min="5384" max="5384" width="5.15234375" style="16" customWidth="1"/>
    <col min="5385" max="5385" width="0" style="16" hidden="1" customWidth="1"/>
    <col min="5386" max="5386" width="4.69140625" style="16" customWidth="1"/>
    <col min="5387" max="5387" width="10.53515625" style="16" customWidth="1"/>
    <col min="5388" max="5388" width="1.15234375" style="16" customWidth="1"/>
    <col min="5389" max="5389" width="16.3046875" style="16" customWidth="1"/>
    <col min="5390" max="5390" width="11.3828125" style="16" bestFit="1" customWidth="1"/>
    <col min="5391" max="5391" width="0" style="16" hidden="1" customWidth="1"/>
    <col min="5392" max="5392" width="14.84375" style="16" customWidth="1"/>
    <col min="5393" max="5393" width="3.53515625" style="16" customWidth="1"/>
    <col min="5394" max="5394" width="2.15234375" style="16" customWidth="1"/>
    <col min="5395" max="5395" width="9.3046875" style="16" customWidth="1"/>
    <col min="5396" max="5396" width="20.69140625" style="16" bestFit="1" customWidth="1"/>
    <col min="5397" max="5397" width="11.53515625" style="16" customWidth="1"/>
    <col min="5398" max="5398" width="18.69140625" style="16" customWidth="1"/>
    <col min="5399" max="5399" width="19.3046875" style="16" bestFit="1" customWidth="1"/>
    <col min="5400" max="5400" width="25.3828125" style="16" customWidth="1"/>
    <col min="5401" max="5632" width="9.15234375" style="16"/>
    <col min="5633" max="5633" width="4.15234375" style="16" customWidth="1"/>
    <col min="5634" max="5634" width="6.3046875" style="16" customWidth="1"/>
    <col min="5635" max="5635" width="16.69140625" style="16" bestFit="1" customWidth="1"/>
    <col min="5636" max="5636" width="0" style="16" hidden="1" customWidth="1"/>
    <col min="5637" max="5637" width="53.69140625" style="16" customWidth="1"/>
    <col min="5638" max="5638" width="12.15234375" style="16" customWidth="1"/>
    <col min="5639" max="5639" width="8.69140625" style="16" customWidth="1"/>
    <col min="5640" max="5640" width="5.15234375" style="16" customWidth="1"/>
    <col min="5641" max="5641" width="0" style="16" hidden="1" customWidth="1"/>
    <col min="5642" max="5642" width="4.69140625" style="16" customWidth="1"/>
    <col min="5643" max="5643" width="10.53515625" style="16" customWidth="1"/>
    <col min="5644" max="5644" width="1.15234375" style="16" customWidth="1"/>
    <col min="5645" max="5645" width="16.3046875" style="16" customWidth="1"/>
    <col min="5646" max="5646" width="11.3828125" style="16" bestFit="1" customWidth="1"/>
    <col min="5647" max="5647" width="0" style="16" hidden="1" customWidth="1"/>
    <col min="5648" max="5648" width="14.84375" style="16" customWidth="1"/>
    <col min="5649" max="5649" width="3.53515625" style="16" customWidth="1"/>
    <col min="5650" max="5650" width="2.15234375" style="16" customWidth="1"/>
    <col min="5651" max="5651" width="9.3046875" style="16" customWidth="1"/>
    <col min="5652" max="5652" width="20.69140625" style="16" bestFit="1" customWidth="1"/>
    <col min="5653" max="5653" width="11.53515625" style="16" customWidth="1"/>
    <col min="5654" max="5654" width="18.69140625" style="16" customWidth="1"/>
    <col min="5655" max="5655" width="19.3046875" style="16" bestFit="1" customWidth="1"/>
    <col min="5656" max="5656" width="25.3828125" style="16" customWidth="1"/>
    <col min="5657" max="5888" width="9.15234375" style="16"/>
    <col min="5889" max="5889" width="4.15234375" style="16" customWidth="1"/>
    <col min="5890" max="5890" width="6.3046875" style="16" customWidth="1"/>
    <col min="5891" max="5891" width="16.69140625" style="16" bestFit="1" customWidth="1"/>
    <col min="5892" max="5892" width="0" style="16" hidden="1" customWidth="1"/>
    <col min="5893" max="5893" width="53.69140625" style="16" customWidth="1"/>
    <col min="5894" max="5894" width="12.15234375" style="16" customWidth="1"/>
    <col min="5895" max="5895" width="8.69140625" style="16" customWidth="1"/>
    <col min="5896" max="5896" width="5.15234375" style="16" customWidth="1"/>
    <col min="5897" max="5897" width="0" style="16" hidden="1" customWidth="1"/>
    <col min="5898" max="5898" width="4.69140625" style="16" customWidth="1"/>
    <col min="5899" max="5899" width="10.53515625" style="16" customWidth="1"/>
    <col min="5900" max="5900" width="1.15234375" style="16" customWidth="1"/>
    <col min="5901" max="5901" width="16.3046875" style="16" customWidth="1"/>
    <col min="5902" max="5902" width="11.3828125" style="16" bestFit="1" customWidth="1"/>
    <col min="5903" max="5903" width="0" style="16" hidden="1" customWidth="1"/>
    <col min="5904" max="5904" width="14.84375" style="16" customWidth="1"/>
    <col min="5905" max="5905" width="3.53515625" style="16" customWidth="1"/>
    <col min="5906" max="5906" width="2.15234375" style="16" customWidth="1"/>
    <col min="5907" max="5907" width="9.3046875" style="16" customWidth="1"/>
    <col min="5908" max="5908" width="20.69140625" style="16" bestFit="1" customWidth="1"/>
    <col min="5909" max="5909" width="11.53515625" style="16" customWidth="1"/>
    <col min="5910" max="5910" width="18.69140625" style="16" customWidth="1"/>
    <col min="5911" max="5911" width="19.3046875" style="16" bestFit="1" customWidth="1"/>
    <col min="5912" max="5912" width="25.3828125" style="16" customWidth="1"/>
    <col min="5913" max="6144" width="9.15234375" style="16"/>
    <col min="6145" max="6145" width="4.15234375" style="16" customWidth="1"/>
    <col min="6146" max="6146" width="6.3046875" style="16" customWidth="1"/>
    <col min="6147" max="6147" width="16.69140625" style="16" bestFit="1" customWidth="1"/>
    <col min="6148" max="6148" width="0" style="16" hidden="1" customWidth="1"/>
    <col min="6149" max="6149" width="53.69140625" style="16" customWidth="1"/>
    <col min="6150" max="6150" width="12.15234375" style="16" customWidth="1"/>
    <col min="6151" max="6151" width="8.69140625" style="16" customWidth="1"/>
    <col min="6152" max="6152" width="5.15234375" style="16" customWidth="1"/>
    <col min="6153" max="6153" width="0" style="16" hidden="1" customWidth="1"/>
    <col min="6154" max="6154" width="4.69140625" style="16" customWidth="1"/>
    <col min="6155" max="6155" width="10.53515625" style="16" customWidth="1"/>
    <col min="6156" max="6156" width="1.15234375" style="16" customWidth="1"/>
    <col min="6157" max="6157" width="16.3046875" style="16" customWidth="1"/>
    <col min="6158" max="6158" width="11.3828125" style="16" bestFit="1" customWidth="1"/>
    <col min="6159" max="6159" width="0" style="16" hidden="1" customWidth="1"/>
    <col min="6160" max="6160" width="14.84375" style="16" customWidth="1"/>
    <col min="6161" max="6161" width="3.53515625" style="16" customWidth="1"/>
    <col min="6162" max="6162" width="2.15234375" style="16" customWidth="1"/>
    <col min="6163" max="6163" width="9.3046875" style="16" customWidth="1"/>
    <col min="6164" max="6164" width="20.69140625" style="16" bestFit="1" customWidth="1"/>
    <col min="6165" max="6165" width="11.53515625" style="16" customWidth="1"/>
    <col min="6166" max="6166" width="18.69140625" style="16" customWidth="1"/>
    <col min="6167" max="6167" width="19.3046875" style="16" bestFit="1" customWidth="1"/>
    <col min="6168" max="6168" width="25.3828125" style="16" customWidth="1"/>
    <col min="6169" max="6400" width="9.15234375" style="16"/>
    <col min="6401" max="6401" width="4.15234375" style="16" customWidth="1"/>
    <col min="6402" max="6402" width="6.3046875" style="16" customWidth="1"/>
    <col min="6403" max="6403" width="16.69140625" style="16" bestFit="1" customWidth="1"/>
    <col min="6404" max="6404" width="0" style="16" hidden="1" customWidth="1"/>
    <col min="6405" max="6405" width="53.69140625" style="16" customWidth="1"/>
    <col min="6406" max="6406" width="12.15234375" style="16" customWidth="1"/>
    <col min="6407" max="6407" width="8.69140625" style="16" customWidth="1"/>
    <col min="6408" max="6408" width="5.15234375" style="16" customWidth="1"/>
    <col min="6409" max="6409" width="0" style="16" hidden="1" customWidth="1"/>
    <col min="6410" max="6410" width="4.69140625" style="16" customWidth="1"/>
    <col min="6411" max="6411" width="10.53515625" style="16" customWidth="1"/>
    <col min="6412" max="6412" width="1.15234375" style="16" customWidth="1"/>
    <col min="6413" max="6413" width="16.3046875" style="16" customWidth="1"/>
    <col min="6414" max="6414" width="11.3828125" style="16" bestFit="1" customWidth="1"/>
    <col min="6415" max="6415" width="0" style="16" hidden="1" customWidth="1"/>
    <col min="6416" max="6416" width="14.84375" style="16" customWidth="1"/>
    <col min="6417" max="6417" width="3.53515625" style="16" customWidth="1"/>
    <col min="6418" max="6418" width="2.15234375" style="16" customWidth="1"/>
    <col min="6419" max="6419" width="9.3046875" style="16" customWidth="1"/>
    <col min="6420" max="6420" width="20.69140625" style="16" bestFit="1" customWidth="1"/>
    <col min="6421" max="6421" width="11.53515625" style="16" customWidth="1"/>
    <col min="6422" max="6422" width="18.69140625" style="16" customWidth="1"/>
    <col min="6423" max="6423" width="19.3046875" style="16" bestFit="1" customWidth="1"/>
    <col min="6424" max="6424" width="25.3828125" style="16" customWidth="1"/>
    <col min="6425" max="6656" width="9.15234375" style="16"/>
    <col min="6657" max="6657" width="4.15234375" style="16" customWidth="1"/>
    <col min="6658" max="6658" width="6.3046875" style="16" customWidth="1"/>
    <col min="6659" max="6659" width="16.69140625" style="16" bestFit="1" customWidth="1"/>
    <col min="6660" max="6660" width="0" style="16" hidden="1" customWidth="1"/>
    <col min="6661" max="6661" width="53.69140625" style="16" customWidth="1"/>
    <col min="6662" max="6662" width="12.15234375" style="16" customWidth="1"/>
    <col min="6663" max="6663" width="8.69140625" style="16" customWidth="1"/>
    <col min="6664" max="6664" width="5.15234375" style="16" customWidth="1"/>
    <col min="6665" max="6665" width="0" style="16" hidden="1" customWidth="1"/>
    <col min="6666" max="6666" width="4.69140625" style="16" customWidth="1"/>
    <col min="6667" max="6667" width="10.53515625" style="16" customWidth="1"/>
    <col min="6668" max="6668" width="1.15234375" style="16" customWidth="1"/>
    <col min="6669" max="6669" width="16.3046875" style="16" customWidth="1"/>
    <col min="6670" max="6670" width="11.3828125" style="16" bestFit="1" customWidth="1"/>
    <col min="6671" max="6671" width="0" style="16" hidden="1" customWidth="1"/>
    <col min="6672" max="6672" width="14.84375" style="16" customWidth="1"/>
    <col min="6673" max="6673" width="3.53515625" style="16" customWidth="1"/>
    <col min="6674" max="6674" width="2.15234375" style="16" customWidth="1"/>
    <col min="6675" max="6675" width="9.3046875" style="16" customWidth="1"/>
    <col min="6676" max="6676" width="20.69140625" style="16" bestFit="1" customWidth="1"/>
    <col min="6677" max="6677" width="11.53515625" style="16" customWidth="1"/>
    <col min="6678" max="6678" width="18.69140625" style="16" customWidth="1"/>
    <col min="6679" max="6679" width="19.3046875" style="16" bestFit="1" customWidth="1"/>
    <col min="6680" max="6680" width="25.3828125" style="16" customWidth="1"/>
    <col min="6681" max="6912" width="9.15234375" style="16"/>
    <col min="6913" max="6913" width="4.15234375" style="16" customWidth="1"/>
    <col min="6914" max="6914" width="6.3046875" style="16" customWidth="1"/>
    <col min="6915" max="6915" width="16.69140625" style="16" bestFit="1" customWidth="1"/>
    <col min="6916" max="6916" width="0" style="16" hidden="1" customWidth="1"/>
    <col min="6917" max="6917" width="53.69140625" style="16" customWidth="1"/>
    <col min="6918" max="6918" width="12.15234375" style="16" customWidth="1"/>
    <col min="6919" max="6919" width="8.69140625" style="16" customWidth="1"/>
    <col min="6920" max="6920" width="5.15234375" style="16" customWidth="1"/>
    <col min="6921" max="6921" width="0" style="16" hidden="1" customWidth="1"/>
    <col min="6922" max="6922" width="4.69140625" style="16" customWidth="1"/>
    <col min="6923" max="6923" width="10.53515625" style="16" customWidth="1"/>
    <col min="6924" max="6924" width="1.15234375" style="16" customWidth="1"/>
    <col min="6925" max="6925" width="16.3046875" style="16" customWidth="1"/>
    <col min="6926" max="6926" width="11.3828125" style="16" bestFit="1" customWidth="1"/>
    <col min="6927" max="6927" width="0" style="16" hidden="1" customWidth="1"/>
    <col min="6928" max="6928" width="14.84375" style="16" customWidth="1"/>
    <col min="6929" max="6929" width="3.53515625" style="16" customWidth="1"/>
    <col min="6930" max="6930" width="2.15234375" style="16" customWidth="1"/>
    <col min="6931" max="6931" width="9.3046875" style="16" customWidth="1"/>
    <col min="6932" max="6932" width="20.69140625" style="16" bestFit="1" customWidth="1"/>
    <col min="6933" max="6933" width="11.53515625" style="16" customWidth="1"/>
    <col min="6934" max="6934" width="18.69140625" style="16" customWidth="1"/>
    <col min="6935" max="6935" width="19.3046875" style="16" bestFit="1" customWidth="1"/>
    <col min="6936" max="6936" width="25.3828125" style="16" customWidth="1"/>
    <col min="6937" max="7168" width="9.15234375" style="16"/>
    <col min="7169" max="7169" width="4.15234375" style="16" customWidth="1"/>
    <col min="7170" max="7170" width="6.3046875" style="16" customWidth="1"/>
    <col min="7171" max="7171" width="16.69140625" style="16" bestFit="1" customWidth="1"/>
    <col min="7172" max="7172" width="0" style="16" hidden="1" customWidth="1"/>
    <col min="7173" max="7173" width="53.69140625" style="16" customWidth="1"/>
    <col min="7174" max="7174" width="12.15234375" style="16" customWidth="1"/>
    <col min="7175" max="7175" width="8.69140625" style="16" customWidth="1"/>
    <col min="7176" max="7176" width="5.15234375" style="16" customWidth="1"/>
    <col min="7177" max="7177" width="0" style="16" hidden="1" customWidth="1"/>
    <col min="7178" max="7178" width="4.69140625" style="16" customWidth="1"/>
    <col min="7179" max="7179" width="10.53515625" style="16" customWidth="1"/>
    <col min="7180" max="7180" width="1.15234375" style="16" customWidth="1"/>
    <col min="7181" max="7181" width="16.3046875" style="16" customWidth="1"/>
    <col min="7182" max="7182" width="11.3828125" style="16" bestFit="1" customWidth="1"/>
    <col min="7183" max="7183" width="0" style="16" hidden="1" customWidth="1"/>
    <col min="7184" max="7184" width="14.84375" style="16" customWidth="1"/>
    <col min="7185" max="7185" width="3.53515625" style="16" customWidth="1"/>
    <col min="7186" max="7186" width="2.15234375" style="16" customWidth="1"/>
    <col min="7187" max="7187" width="9.3046875" style="16" customWidth="1"/>
    <col min="7188" max="7188" width="20.69140625" style="16" bestFit="1" customWidth="1"/>
    <col min="7189" max="7189" width="11.53515625" style="16" customWidth="1"/>
    <col min="7190" max="7190" width="18.69140625" style="16" customWidth="1"/>
    <col min="7191" max="7191" width="19.3046875" style="16" bestFit="1" customWidth="1"/>
    <col min="7192" max="7192" width="25.3828125" style="16" customWidth="1"/>
    <col min="7193" max="7424" width="9.15234375" style="16"/>
    <col min="7425" max="7425" width="4.15234375" style="16" customWidth="1"/>
    <col min="7426" max="7426" width="6.3046875" style="16" customWidth="1"/>
    <col min="7427" max="7427" width="16.69140625" style="16" bestFit="1" customWidth="1"/>
    <col min="7428" max="7428" width="0" style="16" hidden="1" customWidth="1"/>
    <col min="7429" max="7429" width="53.69140625" style="16" customWidth="1"/>
    <col min="7430" max="7430" width="12.15234375" style="16" customWidth="1"/>
    <col min="7431" max="7431" width="8.69140625" style="16" customWidth="1"/>
    <col min="7432" max="7432" width="5.15234375" style="16" customWidth="1"/>
    <col min="7433" max="7433" width="0" style="16" hidden="1" customWidth="1"/>
    <col min="7434" max="7434" width="4.69140625" style="16" customWidth="1"/>
    <col min="7435" max="7435" width="10.53515625" style="16" customWidth="1"/>
    <col min="7436" max="7436" width="1.15234375" style="16" customWidth="1"/>
    <col min="7437" max="7437" width="16.3046875" style="16" customWidth="1"/>
    <col min="7438" max="7438" width="11.3828125" style="16" bestFit="1" customWidth="1"/>
    <col min="7439" max="7439" width="0" style="16" hidden="1" customWidth="1"/>
    <col min="7440" max="7440" width="14.84375" style="16" customWidth="1"/>
    <col min="7441" max="7441" width="3.53515625" style="16" customWidth="1"/>
    <col min="7442" max="7442" width="2.15234375" style="16" customWidth="1"/>
    <col min="7443" max="7443" width="9.3046875" style="16" customWidth="1"/>
    <col min="7444" max="7444" width="20.69140625" style="16" bestFit="1" customWidth="1"/>
    <col min="7445" max="7445" width="11.53515625" style="16" customWidth="1"/>
    <col min="7446" max="7446" width="18.69140625" style="16" customWidth="1"/>
    <col min="7447" max="7447" width="19.3046875" style="16" bestFit="1" customWidth="1"/>
    <col min="7448" max="7448" width="25.3828125" style="16" customWidth="1"/>
    <col min="7449" max="7680" width="9.15234375" style="16"/>
    <col min="7681" max="7681" width="4.15234375" style="16" customWidth="1"/>
    <col min="7682" max="7682" width="6.3046875" style="16" customWidth="1"/>
    <col min="7683" max="7683" width="16.69140625" style="16" bestFit="1" customWidth="1"/>
    <col min="7684" max="7684" width="0" style="16" hidden="1" customWidth="1"/>
    <col min="7685" max="7685" width="53.69140625" style="16" customWidth="1"/>
    <col min="7686" max="7686" width="12.15234375" style="16" customWidth="1"/>
    <col min="7687" max="7687" width="8.69140625" style="16" customWidth="1"/>
    <col min="7688" max="7688" width="5.15234375" style="16" customWidth="1"/>
    <col min="7689" max="7689" width="0" style="16" hidden="1" customWidth="1"/>
    <col min="7690" max="7690" width="4.69140625" style="16" customWidth="1"/>
    <col min="7691" max="7691" width="10.53515625" style="16" customWidth="1"/>
    <col min="7692" max="7692" width="1.15234375" style="16" customWidth="1"/>
    <col min="7693" max="7693" width="16.3046875" style="16" customWidth="1"/>
    <col min="7694" max="7694" width="11.3828125" style="16" bestFit="1" customWidth="1"/>
    <col min="7695" max="7695" width="0" style="16" hidden="1" customWidth="1"/>
    <col min="7696" max="7696" width="14.84375" style="16" customWidth="1"/>
    <col min="7697" max="7697" width="3.53515625" style="16" customWidth="1"/>
    <col min="7698" max="7698" width="2.15234375" style="16" customWidth="1"/>
    <col min="7699" max="7699" width="9.3046875" style="16" customWidth="1"/>
    <col min="7700" max="7700" width="20.69140625" style="16" bestFit="1" customWidth="1"/>
    <col min="7701" max="7701" width="11.53515625" style="16" customWidth="1"/>
    <col min="7702" max="7702" width="18.69140625" style="16" customWidth="1"/>
    <col min="7703" max="7703" width="19.3046875" style="16" bestFit="1" customWidth="1"/>
    <col min="7704" max="7704" width="25.3828125" style="16" customWidth="1"/>
    <col min="7705" max="7936" width="9.15234375" style="16"/>
    <col min="7937" max="7937" width="4.15234375" style="16" customWidth="1"/>
    <col min="7938" max="7938" width="6.3046875" style="16" customWidth="1"/>
    <col min="7939" max="7939" width="16.69140625" style="16" bestFit="1" customWidth="1"/>
    <col min="7940" max="7940" width="0" style="16" hidden="1" customWidth="1"/>
    <col min="7941" max="7941" width="53.69140625" style="16" customWidth="1"/>
    <col min="7942" max="7942" width="12.15234375" style="16" customWidth="1"/>
    <col min="7943" max="7943" width="8.69140625" style="16" customWidth="1"/>
    <col min="7944" max="7944" width="5.15234375" style="16" customWidth="1"/>
    <col min="7945" max="7945" width="0" style="16" hidden="1" customWidth="1"/>
    <col min="7946" max="7946" width="4.69140625" style="16" customWidth="1"/>
    <col min="7947" max="7947" width="10.53515625" style="16" customWidth="1"/>
    <col min="7948" max="7948" width="1.15234375" style="16" customWidth="1"/>
    <col min="7949" max="7949" width="16.3046875" style="16" customWidth="1"/>
    <col min="7950" max="7950" width="11.3828125" style="16" bestFit="1" customWidth="1"/>
    <col min="7951" max="7951" width="0" style="16" hidden="1" customWidth="1"/>
    <col min="7952" max="7952" width="14.84375" style="16" customWidth="1"/>
    <col min="7953" max="7953" width="3.53515625" style="16" customWidth="1"/>
    <col min="7954" max="7954" width="2.15234375" style="16" customWidth="1"/>
    <col min="7955" max="7955" width="9.3046875" style="16" customWidth="1"/>
    <col min="7956" max="7956" width="20.69140625" style="16" bestFit="1" customWidth="1"/>
    <col min="7957" max="7957" width="11.53515625" style="16" customWidth="1"/>
    <col min="7958" max="7958" width="18.69140625" style="16" customWidth="1"/>
    <col min="7959" max="7959" width="19.3046875" style="16" bestFit="1" customWidth="1"/>
    <col min="7960" max="7960" width="25.3828125" style="16" customWidth="1"/>
    <col min="7961" max="8192" width="9.15234375" style="16"/>
    <col min="8193" max="8193" width="4.15234375" style="16" customWidth="1"/>
    <col min="8194" max="8194" width="6.3046875" style="16" customWidth="1"/>
    <col min="8195" max="8195" width="16.69140625" style="16" bestFit="1" customWidth="1"/>
    <col min="8196" max="8196" width="0" style="16" hidden="1" customWidth="1"/>
    <col min="8197" max="8197" width="53.69140625" style="16" customWidth="1"/>
    <col min="8198" max="8198" width="12.15234375" style="16" customWidth="1"/>
    <col min="8199" max="8199" width="8.69140625" style="16" customWidth="1"/>
    <col min="8200" max="8200" width="5.15234375" style="16" customWidth="1"/>
    <col min="8201" max="8201" width="0" style="16" hidden="1" customWidth="1"/>
    <col min="8202" max="8202" width="4.69140625" style="16" customWidth="1"/>
    <col min="8203" max="8203" width="10.53515625" style="16" customWidth="1"/>
    <col min="8204" max="8204" width="1.15234375" style="16" customWidth="1"/>
    <col min="8205" max="8205" width="16.3046875" style="16" customWidth="1"/>
    <col min="8206" max="8206" width="11.3828125" style="16" bestFit="1" customWidth="1"/>
    <col min="8207" max="8207" width="0" style="16" hidden="1" customWidth="1"/>
    <col min="8208" max="8208" width="14.84375" style="16" customWidth="1"/>
    <col min="8209" max="8209" width="3.53515625" style="16" customWidth="1"/>
    <col min="8210" max="8210" width="2.15234375" style="16" customWidth="1"/>
    <col min="8211" max="8211" width="9.3046875" style="16" customWidth="1"/>
    <col min="8212" max="8212" width="20.69140625" style="16" bestFit="1" customWidth="1"/>
    <col min="8213" max="8213" width="11.53515625" style="16" customWidth="1"/>
    <col min="8214" max="8214" width="18.69140625" style="16" customWidth="1"/>
    <col min="8215" max="8215" width="19.3046875" style="16" bestFit="1" customWidth="1"/>
    <col min="8216" max="8216" width="25.3828125" style="16" customWidth="1"/>
    <col min="8217" max="8448" width="9.15234375" style="16"/>
    <col min="8449" max="8449" width="4.15234375" style="16" customWidth="1"/>
    <col min="8450" max="8450" width="6.3046875" style="16" customWidth="1"/>
    <col min="8451" max="8451" width="16.69140625" style="16" bestFit="1" customWidth="1"/>
    <col min="8452" max="8452" width="0" style="16" hidden="1" customWidth="1"/>
    <col min="8453" max="8453" width="53.69140625" style="16" customWidth="1"/>
    <col min="8454" max="8454" width="12.15234375" style="16" customWidth="1"/>
    <col min="8455" max="8455" width="8.69140625" style="16" customWidth="1"/>
    <col min="8456" max="8456" width="5.15234375" style="16" customWidth="1"/>
    <col min="8457" max="8457" width="0" style="16" hidden="1" customWidth="1"/>
    <col min="8458" max="8458" width="4.69140625" style="16" customWidth="1"/>
    <col min="8459" max="8459" width="10.53515625" style="16" customWidth="1"/>
    <col min="8460" max="8460" width="1.15234375" style="16" customWidth="1"/>
    <col min="8461" max="8461" width="16.3046875" style="16" customWidth="1"/>
    <col min="8462" max="8462" width="11.3828125" style="16" bestFit="1" customWidth="1"/>
    <col min="8463" max="8463" width="0" style="16" hidden="1" customWidth="1"/>
    <col min="8464" max="8464" width="14.84375" style="16" customWidth="1"/>
    <col min="8465" max="8465" width="3.53515625" style="16" customWidth="1"/>
    <col min="8466" max="8466" width="2.15234375" style="16" customWidth="1"/>
    <col min="8467" max="8467" width="9.3046875" style="16" customWidth="1"/>
    <col min="8468" max="8468" width="20.69140625" style="16" bestFit="1" customWidth="1"/>
    <col min="8469" max="8469" width="11.53515625" style="16" customWidth="1"/>
    <col min="8470" max="8470" width="18.69140625" style="16" customWidth="1"/>
    <col min="8471" max="8471" width="19.3046875" style="16" bestFit="1" customWidth="1"/>
    <col min="8472" max="8472" width="25.3828125" style="16" customWidth="1"/>
    <col min="8473" max="8704" width="9.15234375" style="16"/>
    <col min="8705" max="8705" width="4.15234375" style="16" customWidth="1"/>
    <col min="8706" max="8706" width="6.3046875" style="16" customWidth="1"/>
    <col min="8707" max="8707" width="16.69140625" style="16" bestFit="1" customWidth="1"/>
    <col min="8708" max="8708" width="0" style="16" hidden="1" customWidth="1"/>
    <col min="8709" max="8709" width="53.69140625" style="16" customWidth="1"/>
    <col min="8710" max="8710" width="12.15234375" style="16" customWidth="1"/>
    <col min="8711" max="8711" width="8.69140625" style="16" customWidth="1"/>
    <col min="8712" max="8712" width="5.15234375" style="16" customWidth="1"/>
    <col min="8713" max="8713" width="0" style="16" hidden="1" customWidth="1"/>
    <col min="8714" max="8714" width="4.69140625" style="16" customWidth="1"/>
    <col min="8715" max="8715" width="10.53515625" style="16" customWidth="1"/>
    <col min="8716" max="8716" width="1.15234375" style="16" customWidth="1"/>
    <col min="8717" max="8717" width="16.3046875" style="16" customWidth="1"/>
    <col min="8718" max="8718" width="11.3828125" style="16" bestFit="1" customWidth="1"/>
    <col min="8719" max="8719" width="0" style="16" hidden="1" customWidth="1"/>
    <col min="8720" max="8720" width="14.84375" style="16" customWidth="1"/>
    <col min="8721" max="8721" width="3.53515625" style="16" customWidth="1"/>
    <col min="8722" max="8722" width="2.15234375" style="16" customWidth="1"/>
    <col min="8723" max="8723" width="9.3046875" style="16" customWidth="1"/>
    <col min="8724" max="8724" width="20.69140625" style="16" bestFit="1" customWidth="1"/>
    <col min="8725" max="8725" width="11.53515625" style="16" customWidth="1"/>
    <col min="8726" max="8726" width="18.69140625" style="16" customWidth="1"/>
    <col min="8727" max="8727" width="19.3046875" style="16" bestFit="1" customWidth="1"/>
    <col min="8728" max="8728" width="25.3828125" style="16" customWidth="1"/>
    <col min="8729" max="8960" width="9.15234375" style="16"/>
    <col min="8961" max="8961" width="4.15234375" style="16" customWidth="1"/>
    <col min="8962" max="8962" width="6.3046875" style="16" customWidth="1"/>
    <col min="8963" max="8963" width="16.69140625" style="16" bestFit="1" customWidth="1"/>
    <col min="8964" max="8964" width="0" style="16" hidden="1" customWidth="1"/>
    <col min="8965" max="8965" width="53.69140625" style="16" customWidth="1"/>
    <col min="8966" max="8966" width="12.15234375" style="16" customWidth="1"/>
    <col min="8967" max="8967" width="8.69140625" style="16" customWidth="1"/>
    <col min="8968" max="8968" width="5.15234375" style="16" customWidth="1"/>
    <col min="8969" max="8969" width="0" style="16" hidden="1" customWidth="1"/>
    <col min="8970" max="8970" width="4.69140625" style="16" customWidth="1"/>
    <col min="8971" max="8971" width="10.53515625" style="16" customWidth="1"/>
    <col min="8972" max="8972" width="1.15234375" style="16" customWidth="1"/>
    <col min="8973" max="8973" width="16.3046875" style="16" customWidth="1"/>
    <col min="8974" max="8974" width="11.3828125" style="16" bestFit="1" customWidth="1"/>
    <col min="8975" max="8975" width="0" style="16" hidden="1" customWidth="1"/>
    <col min="8976" max="8976" width="14.84375" style="16" customWidth="1"/>
    <col min="8977" max="8977" width="3.53515625" style="16" customWidth="1"/>
    <col min="8978" max="8978" width="2.15234375" style="16" customWidth="1"/>
    <col min="8979" max="8979" width="9.3046875" style="16" customWidth="1"/>
    <col min="8980" max="8980" width="20.69140625" style="16" bestFit="1" customWidth="1"/>
    <col min="8981" max="8981" width="11.53515625" style="16" customWidth="1"/>
    <col min="8982" max="8982" width="18.69140625" style="16" customWidth="1"/>
    <col min="8983" max="8983" width="19.3046875" style="16" bestFit="1" customWidth="1"/>
    <col min="8984" max="8984" width="25.3828125" style="16" customWidth="1"/>
    <col min="8985" max="9216" width="9.15234375" style="16"/>
    <col min="9217" max="9217" width="4.15234375" style="16" customWidth="1"/>
    <col min="9218" max="9218" width="6.3046875" style="16" customWidth="1"/>
    <col min="9219" max="9219" width="16.69140625" style="16" bestFit="1" customWidth="1"/>
    <col min="9220" max="9220" width="0" style="16" hidden="1" customWidth="1"/>
    <col min="9221" max="9221" width="53.69140625" style="16" customWidth="1"/>
    <col min="9222" max="9222" width="12.15234375" style="16" customWidth="1"/>
    <col min="9223" max="9223" width="8.69140625" style="16" customWidth="1"/>
    <col min="9224" max="9224" width="5.15234375" style="16" customWidth="1"/>
    <col min="9225" max="9225" width="0" style="16" hidden="1" customWidth="1"/>
    <col min="9226" max="9226" width="4.69140625" style="16" customWidth="1"/>
    <col min="9227" max="9227" width="10.53515625" style="16" customWidth="1"/>
    <col min="9228" max="9228" width="1.15234375" style="16" customWidth="1"/>
    <col min="9229" max="9229" width="16.3046875" style="16" customWidth="1"/>
    <col min="9230" max="9230" width="11.3828125" style="16" bestFit="1" customWidth="1"/>
    <col min="9231" max="9231" width="0" style="16" hidden="1" customWidth="1"/>
    <col min="9232" max="9232" width="14.84375" style="16" customWidth="1"/>
    <col min="9233" max="9233" width="3.53515625" style="16" customWidth="1"/>
    <col min="9234" max="9234" width="2.15234375" style="16" customWidth="1"/>
    <col min="9235" max="9235" width="9.3046875" style="16" customWidth="1"/>
    <col min="9236" max="9236" width="20.69140625" style="16" bestFit="1" customWidth="1"/>
    <col min="9237" max="9237" width="11.53515625" style="16" customWidth="1"/>
    <col min="9238" max="9238" width="18.69140625" style="16" customWidth="1"/>
    <col min="9239" max="9239" width="19.3046875" style="16" bestFit="1" customWidth="1"/>
    <col min="9240" max="9240" width="25.3828125" style="16" customWidth="1"/>
    <col min="9241" max="9472" width="9.15234375" style="16"/>
    <col min="9473" max="9473" width="4.15234375" style="16" customWidth="1"/>
    <col min="9474" max="9474" width="6.3046875" style="16" customWidth="1"/>
    <col min="9475" max="9475" width="16.69140625" style="16" bestFit="1" customWidth="1"/>
    <col min="9476" max="9476" width="0" style="16" hidden="1" customWidth="1"/>
    <col min="9477" max="9477" width="53.69140625" style="16" customWidth="1"/>
    <col min="9478" max="9478" width="12.15234375" style="16" customWidth="1"/>
    <col min="9479" max="9479" width="8.69140625" style="16" customWidth="1"/>
    <col min="9480" max="9480" width="5.15234375" style="16" customWidth="1"/>
    <col min="9481" max="9481" width="0" style="16" hidden="1" customWidth="1"/>
    <col min="9482" max="9482" width="4.69140625" style="16" customWidth="1"/>
    <col min="9483" max="9483" width="10.53515625" style="16" customWidth="1"/>
    <col min="9484" max="9484" width="1.15234375" style="16" customWidth="1"/>
    <col min="9485" max="9485" width="16.3046875" style="16" customWidth="1"/>
    <col min="9486" max="9486" width="11.3828125" style="16" bestFit="1" customWidth="1"/>
    <col min="9487" max="9487" width="0" style="16" hidden="1" customWidth="1"/>
    <col min="9488" max="9488" width="14.84375" style="16" customWidth="1"/>
    <col min="9489" max="9489" width="3.53515625" style="16" customWidth="1"/>
    <col min="9490" max="9490" width="2.15234375" style="16" customWidth="1"/>
    <col min="9491" max="9491" width="9.3046875" style="16" customWidth="1"/>
    <col min="9492" max="9492" width="20.69140625" style="16" bestFit="1" customWidth="1"/>
    <col min="9493" max="9493" width="11.53515625" style="16" customWidth="1"/>
    <col min="9494" max="9494" width="18.69140625" style="16" customWidth="1"/>
    <col min="9495" max="9495" width="19.3046875" style="16" bestFit="1" customWidth="1"/>
    <col min="9496" max="9496" width="25.3828125" style="16" customWidth="1"/>
    <col min="9497" max="9728" width="9.15234375" style="16"/>
    <col min="9729" max="9729" width="4.15234375" style="16" customWidth="1"/>
    <col min="9730" max="9730" width="6.3046875" style="16" customWidth="1"/>
    <col min="9731" max="9731" width="16.69140625" style="16" bestFit="1" customWidth="1"/>
    <col min="9732" max="9732" width="0" style="16" hidden="1" customWidth="1"/>
    <col min="9733" max="9733" width="53.69140625" style="16" customWidth="1"/>
    <col min="9734" max="9734" width="12.15234375" style="16" customWidth="1"/>
    <col min="9735" max="9735" width="8.69140625" style="16" customWidth="1"/>
    <col min="9736" max="9736" width="5.15234375" style="16" customWidth="1"/>
    <col min="9737" max="9737" width="0" style="16" hidden="1" customWidth="1"/>
    <col min="9738" max="9738" width="4.69140625" style="16" customWidth="1"/>
    <col min="9739" max="9739" width="10.53515625" style="16" customWidth="1"/>
    <col min="9740" max="9740" width="1.15234375" style="16" customWidth="1"/>
    <col min="9741" max="9741" width="16.3046875" style="16" customWidth="1"/>
    <col min="9742" max="9742" width="11.3828125" style="16" bestFit="1" customWidth="1"/>
    <col min="9743" max="9743" width="0" style="16" hidden="1" customWidth="1"/>
    <col min="9744" max="9744" width="14.84375" style="16" customWidth="1"/>
    <col min="9745" max="9745" width="3.53515625" style="16" customWidth="1"/>
    <col min="9746" max="9746" width="2.15234375" style="16" customWidth="1"/>
    <col min="9747" max="9747" width="9.3046875" style="16" customWidth="1"/>
    <col min="9748" max="9748" width="20.69140625" style="16" bestFit="1" customWidth="1"/>
    <col min="9749" max="9749" width="11.53515625" style="16" customWidth="1"/>
    <col min="9750" max="9750" width="18.69140625" style="16" customWidth="1"/>
    <col min="9751" max="9751" width="19.3046875" style="16" bestFit="1" customWidth="1"/>
    <col min="9752" max="9752" width="25.3828125" style="16" customWidth="1"/>
    <col min="9753" max="9984" width="9.15234375" style="16"/>
    <col min="9985" max="9985" width="4.15234375" style="16" customWidth="1"/>
    <col min="9986" max="9986" width="6.3046875" style="16" customWidth="1"/>
    <col min="9987" max="9987" width="16.69140625" style="16" bestFit="1" customWidth="1"/>
    <col min="9988" max="9988" width="0" style="16" hidden="1" customWidth="1"/>
    <col min="9989" max="9989" width="53.69140625" style="16" customWidth="1"/>
    <col min="9990" max="9990" width="12.15234375" style="16" customWidth="1"/>
    <col min="9991" max="9991" width="8.69140625" style="16" customWidth="1"/>
    <col min="9992" max="9992" width="5.15234375" style="16" customWidth="1"/>
    <col min="9993" max="9993" width="0" style="16" hidden="1" customWidth="1"/>
    <col min="9994" max="9994" width="4.69140625" style="16" customWidth="1"/>
    <col min="9995" max="9995" width="10.53515625" style="16" customWidth="1"/>
    <col min="9996" max="9996" width="1.15234375" style="16" customWidth="1"/>
    <col min="9997" max="9997" width="16.3046875" style="16" customWidth="1"/>
    <col min="9998" max="9998" width="11.3828125" style="16" bestFit="1" customWidth="1"/>
    <col min="9999" max="9999" width="0" style="16" hidden="1" customWidth="1"/>
    <col min="10000" max="10000" width="14.84375" style="16" customWidth="1"/>
    <col min="10001" max="10001" width="3.53515625" style="16" customWidth="1"/>
    <col min="10002" max="10002" width="2.15234375" style="16" customWidth="1"/>
    <col min="10003" max="10003" width="9.3046875" style="16" customWidth="1"/>
    <col min="10004" max="10004" width="20.69140625" style="16" bestFit="1" customWidth="1"/>
    <col min="10005" max="10005" width="11.53515625" style="16" customWidth="1"/>
    <col min="10006" max="10006" width="18.69140625" style="16" customWidth="1"/>
    <col min="10007" max="10007" width="19.3046875" style="16" bestFit="1" customWidth="1"/>
    <col min="10008" max="10008" width="25.3828125" style="16" customWidth="1"/>
    <col min="10009" max="10240" width="9.15234375" style="16"/>
    <col min="10241" max="10241" width="4.15234375" style="16" customWidth="1"/>
    <col min="10242" max="10242" width="6.3046875" style="16" customWidth="1"/>
    <col min="10243" max="10243" width="16.69140625" style="16" bestFit="1" customWidth="1"/>
    <col min="10244" max="10244" width="0" style="16" hidden="1" customWidth="1"/>
    <col min="10245" max="10245" width="53.69140625" style="16" customWidth="1"/>
    <col min="10246" max="10246" width="12.15234375" style="16" customWidth="1"/>
    <col min="10247" max="10247" width="8.69140625" style="16" customWidth="1"/>
    <col min="10248" max="10248" width="5.15234375" style="16" customWidth="1"/>
    <col min="10249" max="10249" width="0" style="16" hidden="1" customWidth="1"/>
    <col min="10250" max="10250" width="4.69140625" style="16" customWidth="1"/>
    <col min="10251" max="10251" width="10.53515625" style="16" customWidth="1"/>
    <col min="10252" max="10252" width="1.15234375" style="16" customWidth="1"/>
    <col min="10253" max="10253" width="16.3046875" style="16" customWidth="1"/>
    <col min="10254" max="10254" width="11.3828125" style="16" bestFit="1" customWidth="1"/>
    <col min="10255" max="10255" width="0" style="16" hidden="1" customWidth="1"/>
    <col min="10256" max="10256" width="14.84375" style="16" customWidth="1"/>
    <col min="10257" max="10257" width="3.53515625" style="16" customWidth="1"/>
    <col min="10258" max="10258" width="2.15234375" style="16" customWidth="1"/>
    <col min="10259" max="10259" width="9.3046875" style="16" customWidth="1"/>
    <col min="10260" max="10260" width="20.69140625" style="16" bestFit="1" customWidth="1"/>
    <col min="10261" max="10261" width="11.53515625" style="16" customWidth="1"/>
    <col min="10262" max="10262" width="18.69140625" style="16" customWidth="1"/>
    <col min="10263" max="10263" width="19.3046875" style="16" bestFit="1" customWidth="1"/>
    <col min="10264" max="10264" width="25.3828125" style="16" customWidth="1"/>
    <col min="10265" max="10496" width="9.15234375" style="16"/>
    <col min="10497" max="10497" width="4.15234375" style="16" customWidth="1"/>
    <col min="10498" max="10498" width="6.3046875" style="16" customWidth="1"/>
    <col min="10499" max="10499" width="16.69140625" style="16" bestFit="1" customWidth="1"/>
    <col min="10500" max="10500" width="0" style="16" hidden="1" customWidth="1"/>
    <col min="10501" max="10501" width="53.69140625" style="16" customWidth="1"/>
    <col min="10502" max="10502" width="12.15234375" style="16" customWidth="1"/>
    <col min="10503" max="10503" width="8.69140625" style="16" customWidth="1"/>
    <col min="10504" max="10504" width="5.15234375" style="16" customWidth="1"/>
    <col min="10505" max="10505" width="0" style="16" hidden="1" customWidth="1"/>
    <col min="10506" max="10506" width="4.69140625" style="16" customWidth="1"/>
    <col min="10507" max="10507" width="10.53515625" style="16" customWidth="1"/>
    <col min="10508" max="10508" width="1.15234375" style="16" customWidth="1"/>
    <col min="10509" max="10509" width="16.3046875" style="16" customWidth="1"/>
    <col min="10510" max="10510" width="11.3828125" style="16" bestFit="1" customWidth="1"/>
    <col min="10511" max="10511" width="0" style="16" hidden="1" customWidth="1"/>
    <col min="10512" max="10512" width="14.84375" style="16" customWidth="1"/>
    <col min="10513" max="10513" width="3.53515625" style="16" customWidth="1"/>
    <col min="10514" max="10514" width="2.15234375" style="16" customWidth="1"/>
    <col min="10515" max="10515" width="9.3046875" style="16" customWidth="1"/>
    <col min="10516" max="10516" width="20.69140625" style="16" bestFit="1" customWidth="1"/>
    <col min="10517" max="10517" width="11.53515625" style="16" customWidth="1"/>
    <col min="10518" max="10518" width="18.69140625" style="16" customWidth="1"/>
    <col min="10519" max="10519" width="19.3046875" style="16" bestFit="1" customWidth="1"/>
    <col min="10520" max="10520" width="25.3828125" style="16" customWidth="1"/>
    <col min="10521" max="10752" width="9.15234375" style="16"/>
    <col min="10753" max="10753" width="4.15234375" style="16" customWidth="1"/>
    <col min="10754" max="10754" width="6.3046875" style="16" customWidth="1"/>
    <col min="10755" max="10755" width="16.69140625" style="16" bestFit="1" customWidth="1"/>
    <col min="10756" max="10756" width="0" style="16" hidden="1" customWidth="1"/>
    <col min="10757" max="10757" width="53.69140625" style="16" customWidth="1"/>
    <col min="10758" max="10758" width="12.15234375" style="16" customWidth="1"/>
    <col min="10759" max="10759" width="8.69140625" style="16" customWidth="1"/>
    <col min="10760" max="10760" width="5.15234375" style="16" customWidth="1"/>
    <col min="10761" max="10761" width="0" style="16" hidden="1" customWidth="1"/>
    <col min="10762" max="10762" width="4.69140625" style="16" customWidth="1"/>
    <col min="10763" max="10763" width="10.53515625" style="16" customWidth="1"/>
    <col min="10764" max="10764" width="1.15234375" style="16" customWidth="1"/>
    <col min="10765" max="10765" width="16.3046875" style="16" customWidth="1"/>
    <col min="10766" max="10766" width="11.3828125" style="16" bestFit="1" customWidth="1"/>
    <col min="10767" max="10767" width="0" style="16" hidden="1" customWidth="1"/>
    <col min="10768" max="10768" width="14.84375" style="16" customWidth="1"/>
    <col min="10769" max="10769" width="3.53515625" style="16" customWidth="1"/>
    <col min="10770" max="10770" width="2.15234375" style="16" customWidth="1"/>
    <col min="10771" max="10771" width="9.3046875" style="16" customWidth="1"/>
    <col min="10772" max="10772" width="20.69140625" style="16" bestFit="1" customWidth="1"/>
    <col min="10773" max="10773" width="11.53515625" style="16" customWidth="1"/>
    <col min="10774" max="10774" width="18.69140625" style="16" customWidth="1"/>
    <col min="10775" max="10775" width="19.3046875" style="16" bestFit="1" customWidth="1"/>
    <col min="10776" max="10776" width="25.3828125" style="16" customWidth="1"/>
    <col min="10777" max="11008" width="9.15234375" style="16"/>
    <col min="11009" max="11009" width="4.15234375" style="16" customWidth="1"/>
    <col min="11010" max="11010" width="6.3046875" style="16" customWidth="1"/>
    <col min="11011" max="11011" width="16.69140625" style="16" bestFit="1" customWidth="1"/>
    <col min="11012" max="11012" width="0" style="16" hidden="1" customWidth="1"/>
    <col min="11013" max="11013" width="53.69140625" style="16" customWidth="1"/>
    <col min="11014" max="11014" width="12.15234375" style="16" customWidth="1"/>
    <col min="11015" max="11015" width="8.69140625" style="16" customWidth="1"/>
    <col min="11016" max="11016" width="5.15234375" style="16" customWidth="1"/>
    <col min="11017" max="11017" width="0" style="16" hidden="1" customWidth="1"/>
    <col min="11018" max="11018" width="4.69140625" style="16" customWidth="1"/>
    <col min="11019" max="11019" width="10.53515625" style="16" customWidth="1"/>
    <col min="11020" max="11020" width="1.15234375" style="16" customWidth="1"/>
    <col min="11021" max="11021" width="16.3046875" style="16" customWidth="1"/>
    <col min="11022" max="11022" width="11.3828125" style="16" bestFit="1" customWidth="1"/>
    <col min="11023" max="11023" width="0" style="16" hidden="1" customWidth="1"/>
    <col min="11024" max="11024" width="14.84375" style="16" customWidth="1"/>
    <col min="11025" max="11025" width="3.53515625" style="16" customWidth="1"/>
    <col min="11026" max="11026" width="2.15234375" style="16" customWidth="1"/>
    <col min="11027" max="11027" width="9.3046875" style="16" customWidth="1"/>
    <col min="11028" max="11028" width="20.69140625" style="16" bestFit="1" customWidth="1"/>
    <col min="11029" max="11029" width="11.53515625" style="16" customWidth="1"/>
    <col min="11030" max="11030" width="18.69140625" style="16" customWidth="1"/>
    <col min="11031" max="11031" width="19.3046875" style="16" bestFit="1" customWidth="1"/>
    <col min="11032" max="11032" width="25.3828125" style="16" customWidth="1"/>
    <col min="11033" max="11264" width="9.15234375" style="16"/>
    <col min="11265" max="11265" width="4.15234375" style="16" customWidth="1"/>
    <col min="11266" max="11266" width="6.3046875" style="16" customWidth="1"/>
    <col min="11267" max="11267" width="16.69140625" style="16" bestFit="1" customWidth="1"/>
    <col min="11268" max="11268" width="0" style="16" hidden="1" customWidth="1"/>
    <col min="11269" max="11269" width="53.69140625" style="16" customWidth="1"/>
    <col min="11270" max="11270" width="12.15234375" style="16" customWidth="1"/>
    <col min="11271" max="11271" width="8.69140625" style="16" customWidth="1"/>
    <col min="11272" max="11272" width="5.15234375" style="16" customWidth="1"/>
    <col min="11273" max="11273" width="0" style="16" hidden="1" customWidth="1"/>
    <col min="11274" max="11274" width="4.69140625" style="16" customWidth="1"/>
    <col min="11275" max="11275" width="10.53515625" style="16" customWidth="1"/>
    <col min="11276" max="11276" width="1.15234375" style="16" customWidth="1"/>
    <col min="11277" max="11277" width="16.3046875" style="16" customWidth="1"/>
    <col min="11278" max="11278" width="11.3828125" style="16" bestFit="1" customWidth="1"/>
    <col min="11279" max="11279" width="0" style="16" hidden="1" customWidth="1"/>
    <col min="11280" max="11280" width="14.84375" style="16" customWidth="1"/>
    <col min="11281" max="11281" width="3.53515625" style="16" customWidth="1"/>
    <col min="11282" max="11282" width="2.15234375" style="16" customWidth="1"/>
    <col min="11283" max="11283" width="9.3046875" style="16" customWidth="1"/>
    <col min="11284" max="11284" width="20.69140625" style="16" bestFit="1" customWidth="1"/>
    <col min="11285" max="11285" width="11.53515625" style="16" customWidth="1"/>
    <col min="11286" max="11286" width="18.69140625" style="16" customWidth="1"/>
    <col min="11287" max="11287" width="19.3046875" style="16" bestFit="1" customWidth="1"/>
    <col min="11288" max="11288" width="25.3828125" style="16" customWidth="1"/>
    <col min="11289" max="11520" width="9.15234375" style="16"/>
    <col min="11521" max="11521" width="4.15234375" style="16" customWidth="1"/>
    <col min="11522" max="11522" width="6.3046875" style="16" customWidth="1"/>
    <col min="11523" max="11523" width="16.69140625" style="16" bestFit="1" customWidth="1"/>
    <col min="11524" max="11524" width="0" style="16" hidden="1" customWidth="1"/>
    <col min="11525" max="11525" width="53.69140625" style="16" customWidth="1"/>
    <col min="11526" max="11526" width="12.15234375" style="16" customWidth="1"/>
    <col min="11527" max="11527" width="8.69140625" style="16" customWidth="1"/>
    <col min="11528" max="11528" width="5.15234375" style="16" customWidth="1"/>
    <col min="11529" max="11529" width="0" style="16" hidden="1" customWidth="1"/>
    <col min="11530" max="11530" width="4.69140625" style="16" customWidth="1"/>
    <col min="11531" max="11531" width="10.53515625" style="16" customWidth="1"/>
    <col min="11532" max="11532" width="1.15234375" style="16" customWidth="1"/>
    <col min="11533" max="11533" width="16.3046875" style="16" customWidth="1"/>
    <col min="11534" max="11534" width="11.3828125" style="16" bestFit="1" customWidth="1"/>
    <col min="11535" max="11535" width="0" style="16" hidden="1" customWidth="1"/>
    <col min="11536" max="11536" width="14.84375" style="16" customWidth="1"/>
    <col min="11537" max="11537" width="3.53515625" style="16" customWidth="1"/>
    <col min="11538" max="11538" width="2.15234375" style="16" customWidth="1"/>
    <col min="11539" max="11539" width="9.3046875" style="16" customWidth="1"/>
    <col min="11540" max="11540" width="20.69140625" style="16" bestFit="1" customWidth="1"/>
    <col min="11541" max="11541" width="11.53515625" style="16" customWidth="1"/>
    <col min="11542" max="11542" width="18.69140625" style="16" customWidth="1"/>
    <col min="11543" max="11543" width="19.3046875" style="16" bestFit="1" customWidth="1"/>
    <col min="11544" max="11544" width="25.3828125" style="16" customWidth="1"/>
    <col min="11545" max="11776" width="9.15234375" style="16"/>
    <col min="11777" max="11777" width="4.15234375" style="16" customWidth="1"/>
    <col min="11778" max="11778" width="6.3046875" style="16" customWidth="1"/>
    <col min="11779" max="11779" width="16.69140625" style="16" bestFit="1" customWidth="1"/>
    <col min="11780" max="11780" width="0" style="16" hidden="1" customWidth="1"/>
    <col min="11781" max="11781" width="53.69140625" style="16" customWidth="1"/>
    <col min="11782" max="11782" width="12.15234375" style="16" customWidth="1"/>
    <col min="11783" max="11783" width="8.69140625" style="16" customWidth="1"/>
    <col min="11784" max="11784" width="5.15234375" style="16" customWidth="1"/>
    <col min="11785" max="11785" width="0" style="16" hidden="1" customWidth="1"/>
    <col min="11786" max="11786" width="4.69140625" style="16" customWidth="1"/>
    <col min="11787" max="11787" width="10.53515625" style="16" customWidth="1"/>
    <col min="11788" max="11788" width="1.15234375" style="16" customWidth="1"/>
    <col min="11789" max="11789" width="16.3046875" style="16" customWidth="1"/>
    <col min="11790" max="11790" width="11.3828125" style="16" bestFit="1" customWidth="1"/>
    <col min="11791" max="11791" width="0" style="16" hidden="1" customWidth="1"/>
    <col min="11792" max="11792" width="14.84375" style="16" customWidth="1"/>
    <col min="11793" max="11793" width="3.53515625" style="16" customWidth="1"/>
    <col min="11794" max="11794" width="2.15234375" style="16" customWidth="1"/>
    <col min="11795" max="11795" width="9.3046875" style="16" customWidth="1"/>
    <col min="11796" max="11796" width="20.69140625" style="16" bestFit="1" customWidth="1"/>
    <col min="11797" max="11797" width="11.53515625" style="16" customWidth="1"/>
    <col min="11798" max="11798" width="18.69140625" style="16" customWidth="1"/>
    <col min="11799" max="11799" width="19.3046875" style="16" bestFit="1" customWidth="1"/>
    <col min="11800" max="11800" width="25.3828125" style="16" customWidth="1"/>
    <col min="11801" max="12032" width="9.15234375" style="16"/>
    <col min="12033" max="12033" width="4.15234375" style="16" customWidth="1"/>
    <col min="12034" max="12034" width="6.3046875" style="16" customWidth="1"/>
    <col min="12035" max="12035" width="16.69140625" style="16" bestFit="1" customWidth="1"/>
    <col min="12036" max="12036" width="0" style="16" hidden="1" customWidth="1"/>
    <col min="12037" max="12037" width="53.69140625" style="16" customWidth="1"/>
    <col min="12038" max="12038" width="12.15234375" style="16" customWidth="1"/>
    <col min="12039" max="12039" width="8.69140625" style="16" customWidth="1"/>
    <col min="12040" max="12040" width="5.15234375" style="16" customWidth="1"/>
    <col min="12041" max="12041" width="0" style="16" hidden="1" customWidth="1"/>
    <col min="12042" max="12042" width="4.69140625" style="16" customWidth="1"/>
    <col min="12043" max="12043" width="10.53515625" style="16" customWidth="1"/>
    <col min="12044" max="12044" width="1.15234375" style="16" customWidth="1"/>
    <col min="12045" max="12045" width="16.3046875" style="16" customWidth="1"/>
    <col min="12046" max="12046" width="11.3828125" style="16" bestFit="1" customWidth="1"/>
    <col min="12047" max="12047" width="0" style="16" hidden="1" customWidth="1"/>
    <col min="12048" max="12048" width="14.84375" style="16" customWidth="1"/>
    <col min="12049" max="12049" width="3.53515625" style="16" customWidth="1"/>
    <col min="12050" max="12050" width="2.15234375" style="16" customWidth="1"/>
    <col min="12051" max="12051" width="9.3046875" style="16" customWidth="1"/>
    <col min="12052" max="12052" width="20.69140625" style="16" bestFit="1" customWidth="1"/>
    <col min="12053" max="12053" width="11.53515625" style="16" customWidth="1"/>
    <col min="12054" max="12054" width="18.69140625" style="16" customWidth="1"/>
    <col min="12055" max="12055" width="19.3046875" style="16" bestFit="1" customWidth="1"/>
    <col min="12056" max="12056" width="25.3828125" style="16" customWidth="1"/>
    <col min="12057" max="12288" width="9.15234375" style="16"/>
    <col min="12289" max="12289" width="4.15234375" style="16" customWidth="1"/>
    <col min="12290" max="12290" width="6.3046875" style="16" customWidth="1"/>
    <col min="12291" max="12291" width="16.69140625" style="16" bestFit="1" customWidth="1"/>
    <col min="12292" max="12292" width="0" style="16" hidden="1" customWidth="1"/>
    <col min="12293" max="12293" width="53.69140625" style="16" customWidth="1"/>
    <col min="12294" max="12294" width="12.15234375" style="16" customWidth="1"/>
    <col min="12295" max="12295" width="8.69140625" style="16" customWidth="1"/>
    <col min="12296" max="12296" width="5.15234375" style="16" customWidth="1"/>
    <col min="12297" max="12297" width="0" style="16" hidden="1" customWidth="1"/>
    <col min="12298" max="12298" width="4.69140625" style="16" customWidth="1"/>
    <col min="12299" max="12299" width="10.53515625" style="16" customWidth="1"/>
    <col min="12300" max="12300" width="1.15234375" style="16" customWidth="1"/>
    <col min="12301" max="12301" width="16.3046875" style="16" customWidth="1"/>
    <col min="12302" max="12302" width="11.3828125" style="16" bestFit="1" customWidth="1"/>
    <col min="12303" max="12303" width="0" style="16" hidden="1" customWidth="1"/>
    <col min="12304" max="12304" width="14.84375" style="16" customWidth="1"/>
    <col min="12305" max="12305" width="3.53515625" style="16" customWidth="1"/>
    <col min="12306" max="12306" width="2.15234375" style="16" customWidth="1"/>
    <col min="12307" max="12307" width="9.3046875" style="16" customWidth="1"/>
    <col min="12308" max="12308" width="20.69140625" style="16" bestFit="1" customWidth="1"/>
    <col min="12309" max="12309" width="11.53515625" style="16" customWidth="1"/>
    <col min="12310" max="12310" width="18.69140625" style="16" customWidth="1"/>
    <col min="12311" max="12311" width="19.3046875" style="16" bestFit="1" customWidth="1"/>
    <col min="12312" max="12312" width="25.3828125" style="16" customWidth="1"/>
    <col min="12313" max="12544" width="9.15234375" style="16"/>
    <col min="12545" max="12545" width="4.15234375" style="16" customWidth="1"/>
    <col min="12546" max="12546" width="6.3046875" style="16" customWidth="1"/>
    <col min="12547" max="12547" width="16.69140625" style="16" bestFit="1" customWidth="1"/>
    <col min="12548" max="12548" width="0" style="16" hidden="1" customWidth="1"/>
    <col min="12549" max="12549" width="53.69140625" style="16" customWidth="1"/>
    <col min="12550" max="12550" width="12.15234375" style="16" customWidth="1"/>
    <col min="12551" max="12551" width="8.69140625" style="16" customWidth="1"/>
    <col min="12552" max="12552" width="5.15234375" style="16" customWidth="1"/>
    <col min="12553" max="12553" width="0" style="16" hidden="1" customWidth="1"/>
    <col min="12554" max="12554" width="4.69140625" style="16" customWidth="1"/>
    <col min="12555" max="12555" width="10.53515625" style="16" customWidth="1"/>
    <col min="12556" max="12556" width="1.15234375" style="16" customWidth="1"/>
    <col min="12557" max="12557" width="16.3046875" style="16" customWidth="1"/>
    <col min="12558" max="12558" width="11.3828125" style="16" bestFit="1" customWidth="1"/>
    <col min="12559" max="12559" width="0" style="16" hidden="1" customWidth="1"/>
    <col min="12560" max="12560" width="14.84375" style="16" customWidth="1"/>
    <col min="12561" max="12561" width="3.53515625" style="16" customWidth="1"/>
    <col min="12562" max="12562" width="2.15234375" style="16" customWidth="1"/>
    <col min="12563" max="12563" width="9.3046875" style="16" customWidth="1"/>
    <col min="12564" max="12564" width="20.69140625" style="16" bestFit="1" customWidth="1"/>
    <col min="12565" max="12565" width="11.53515625" style="16" customWidth="1"/>
    <col min="12566" max="12566" width="18.69140625" style="16" customWidth="1"/>
    <col min="12567" max="12567" width="19.3046875" style="16" bestFit="1" customWidth="1"/>
    <col min="12568" max="12568" width="25.3828125" style="16" customWidth="1"/>
    <col min="12569" max="12800" width="9.15234375" style="16"/>
    <col min="12801" max="12801" width="4.15234375" style="16" customWidth="1"/>
    <col min="12802" max="12802" width="6.3046875" style="16" customWidth="1"/>
    <col min="12803" max="12803" width="16.69140625" style="16" bestFit="1" customWidth="1"/>
    <col min="12804" max="12804" width="0" style="16" hidden="1" customWidth="1"/>
    <col min="12805" max="12805" width="53.69140625" style="16" customWidth="1"/>
    <col min="12806" max="12806" width="12.15234375" style="16" customWidth="1"/>
    <col min="12807" max="12807" width="8.69140625" style="16" customWidth="1"/>
    <col min="12808" max="12808" width="5.15234375" style="16" customWidth="1"/>
    <col min="12809" max="12809" width="0" style="16" hidden="1" customWidth="1"/>
    <col min="12810" max="12810" width="4.69140625" style="16" customWidth="1"/>
    <col min="12811" max="12811" width="10.53515625" style="16" customWidth="1"/>
    <col min="12812" max="12812" width="1.15234375" style="16" customWidth="1"/>
    <col min="12813" max="12813" width="16.3046875" style="16" customWidth="1"/>
    <col min="12814" max="12814" width="11.3828125" style="16" bestFit="1" customWidth="1"/>
    <col min="12815" max="12815" width="0" style="16" hidden="1" customWidth="1"/>
    <col min="12816" max="12816" width="14.84375" style="16" customWidth="1"/>
    <col min="12817" max="12817" width="3.53515625" style="16" customWidth="1"/>
    <col min="12818" max="12818" width="2.15234375" style="16" customWidth="1"/>
    <col min="12819" max="12819" width="9.3046875" style="16" customWidth="1"/>
    <col min="12820" max="12820" width="20.69140625" style="16" bestFit="1" customWidth="1"/>
    <col min="12821" max="12821" width="11.53515625" style="16" customWidth="1"/>
    <col min="12822" max="12822" width="18.69140625" style="16" customWidth="1"/>
    <col min="12823" max="12823" width="19.3046875" style="16" bestFit="1" customWidth="1"/>
    <col min="12824" max="12824" width="25.3828125" style="16" customWidth="1"/>
    <col min="12825" max="13056" width="9.15234375" style="16"/>
    <col min="13057" max="13057" width="4.15234375" style="16" customWidth="1"/>
    <col min="13058" max="13058" width="6.3046875" style="16" customWidth="1"/>
    <col min="13059" max="13059" width="16.69140625" style="16" bestFit="1" customWidth="1"/>
    <col min="13060" max="13060" width="0" style="16" hidden="1" customWidth="1"/>
    <col min="13061" max="13061" width="53.69140625" style="16" customWidth="1"/>
    <col min="13062" max="13062" width="12.15234375" style="16" customWidth="1"/>
    <col min="13063" max="13063" width="8.69140625" style="16" customWidth="1"/>
    <col min="13064" max="13064" width="5.15234375" style="16" customWidth="1"/>
    <col min="13065" max="13065" width="0" style="16" hidden="1" customWidth="1"/>
    <col min="13066" max="13066" width="4.69140625" style="16" customWidth="1"/>
    <col min="13067" max="13067" width="10.53515625" style="16" customWidth="1"/>
    <col min="13068" max="13068" width="1.15234375" style="16" customWidth="1"/>
    <col min="13069" max="13069" width="16.3046875" style="16" customWidth="1"/>
    <col min="13070" max="13070" width="11.3828125" style="16" bestFit="1" customWidth="1"/>
    <col min="13071" max="13071" width="0" style="16" hidden="1" customWidth="1"/>
    <col min="13072" max="13072" width="14.84375" style="16" customWidth="1"/>
    <col min="13073" max="13073" width="3.53515625" style="16" customWidth="1"/>
    <col min="13074" max="13074" width="2.15234375" style="16" customWidth="1"/>
    <col min="13075" max="13075" width="9.3046875" style="16" customWidth="1"/>
    <col min="13076" max="13076" width="20.69140625" style="16" bestFit="1" customWidth="1"/>
    <col min="13077" max="13077" width="11.53515625" style="16" customWidth="1"/>
    <col min="13078" max="13078" width="18.69140625" style="16" customWidth="1"/>
    <col min="13079" max="13079" width="19.3046875" style="16" bestFit="1" customWidth="1"/>
    <col min="13080" max="13080" width="25.3828125" style="16" customWidth="1"/>
    <col min="13081" max="13312" width="9.15234375" style="16"/>
    <col min="13313" max="13313" width="4.15234375" style="16" customWidth="1"/>
    <col min="13314" max="13314" width="6.3046875" style="16" customWidth="1"/>
    <col min="13315" max="13315" width="16.69140625" style="16" bestFit="1" customWidth="1"/>
    <col min="13316" max="13316" width="0" style="16" hidden="1" customWidth="1"/>
    <col min="13317" max="13317" width="53.69140625" style="16" customWidth="1"/>
    <col min="13318" max="13318" width="12.15234375" style="16" customWidth="1"/>
    <col min="13319" max="13319" width="8.69140625" style="16" customWidth="1"/>
    <col min="13320" max="13320" width="5.15234375" style="16" customWidth="1"/>
    <col min="13321" max="13321" width="0" style="16" hidden="1" customWidth="1"/>
    <col min="13322" max="13322" width="4.69140625" style="16" customWidth="1"/>
    <col min="13323" max="13323" width="10.53515625" style="16" customWidth="1"/>
    <col min="13324" max="13324" width="1.15234375" style="16" customWidth="1"/>
    <col min="13325" max="13325" width="16.3046875" style="16" customWidth="1"/>
    <col min="13326" max="13326" width="11.3828125" style="16" bestFit="1" customWidth="1"/>
    <col min="13327" max="13327" width="0" style="16" hidden="1" customWidth="1"/>
    <col min="13328" max="13328" width="14.84375" style="16" customWidth="1"/>
    <col min="13329" max="13329" width="3.53515625" style="16" customWidth="1"/>
    <col min="13330" max="13330" width="2.15234375" style="16" customWidth="1"/>
    <col min="13331" max="13331" width="9.3046875" style="16" customWidth="1"/>
    <col min="13332" max="13332" width="20.69140625" style="16" bestFit="1" customWidth="1"/>
    <col min="13333" max="13333" width="11.53515625" style="16" customWidth="1"/>
    <col min="13334" max="13334" width="18.69140625" style="16" customWidth="1"/>
    <col min="13335" max="13335" width="19.3046875" style="16" bestFit="1" customWidth="1"/>
    <col min="13336" max="13336" width="25.3828125" style="16" customWidth="1"/>
    <col min="13337" max="13568" width="9.15234375" style="16"/>
    <col min="13569" max="13569" width="4.15234375" style="16" customWidth="1"/>
    <col min="13570" max="13570" width="6.3046875" style="16" customWidth="1"/>
    <col min="13571" max="13571" width="16.69140625" style="16" bestFit="1" customWidth="1"/>
    <col min="13572" max="13572" width="0" style="16" hidden="1" customWidth="1"/>
    <col min="13573" max="13573" width="53.69140625" style="16" customWidth="1"/>
    <col min="13574" max="13574" width="12.15234375" style="16" customWidth="1"/>
    <col min="13575" max="13575" width="8.69140625" style="16" customWidth="1"/>
    <col min="13576" max="13576" width="5.15234375" style="16" customWidth="1"/>
    <col min="13577" max="13577" width="0" style="16" hidden="1" customWidth="1"/>
    <col min="13578" max="13578" width="4.69140625" style="16" customWidth="1"/>
    <col min="13579" max="13579" width="10.53515625" style="16" customWidth="1"/>
    <col min="13580" max="13580" width="1.15234375" style="16" customWidth="1"/>
    <col min="13581" max="13581" width="16.3046875" style="16" customWidth="1"/>
    <col min="13582" max="13582" width="11.3828125" style="16" bestFit="1" customWidth="1"/>
    <col min="13583" max="13583" width="0" style="16" hidden="1" customWidth="1"/>
    <col min="13584" max="13584" width="14.84375" style="16" customWidth="1"/>
    <col min="13585" max="13585" width="3.53515625" style="16" customWidth="1"/>
    <col min="13586" max="13586" width="2.15234375" style="16" customWidth="1"/>
    <col min="13587" max="13587" width="9.3046875" style="16" customWidth="1"/>
    <col min="13588" max="13588" width="20.69140625" style="16" bestFit="1" customWidth="1"/>
    <col min="13589" max="13589" width="11.53515625" style="16" customWidth="1"/>
    <col min="13590" max="13590" width="18.69140625" style="16" customWidth="1"/>
    <col min="13591" max="13591" width="19.3046875" style="16" bestFit="1" customWidth="1"/>
    <col min="13592" max="13592" width="25.3828125" style="16" customWidth="1"/>
    <col min="13593" max="13824" width="9.15234375" style="16"/>
    <col min="13825" max="13825" width="4.15234375" style="16" customWidth="1"/>
    <col min="13826" max="13826" width="6.3046875" style="16" customWidth="1"/>
    <col min="13827" max="13827" width="16.69140625" style="16" bestFit="1" customWidth="1"/>
    <col min="13828" max="13828" width="0" style="16" hidden="1" customWidth="1"/>
    <col min="13829" max="13829" width="53.69140625" style="16" customWidth="1"/>
    <col min="13830" max="13830" width="12.15234375" style="16" customWidth="1"/>
    <col min="13831" max="13831" width="8.69140625" style="16" customWidth="1"/>
    <col min="13832" max="13832" width="5.15234375" style="16" customWidth="1"/>
    <col min="13833" max="13833" width="0" style="16" hidden="1" customWidth="1"/>
    <col min="13834" max="13834" width="4.69140625" style="16" customWidth="1"/>
    <col min="13835" max="13835" width="10.53515625" style="16" customWidth="1"/>
    <col min="13836" max="13836" width="1.15234375" style="16" customWidth="1"/>
    <col min="13837" max="13837" width="16.3046875" style="16" customWidth="1"/>
    <col min="13838" max="13838" width="11.3828125" style="16" bestFit="1" customWidth="1"/>
    <col min="13839" max="13839" width="0" style="16" hidden="1" customWidth="1"/>
    <col min="13840" max="13840" width="14.84375" style="16" customWidth="1"/>
    <col min="13841" max="13841" width="3.53515625" style="16" customWidth="1"/>
    <col min="13842" max="13842" width="2.15234375" style="16" customWidth="1"/>
    <col min="13843" max="13843" width="9.3046875" style="16" customWidth="1"/>
    <col min="13844" max="13844" width="20.69140625" style="16" bestFit="1" customWidth="1"/>
    <col min="13845" max="13845" width="11.53515625" style="16" customWidth="1"/>
    <col min="13846" max="13846" width="18.69140625" style="16" customWidth="1"/>
    <col min="13847" max="13847" width="19.3046875" style="16" bestFit="1" customWidth="1"/>
    <col min="13848" max="13848" width="25.3828125" style="16" customWidth="1"/>
    <col min="13849" max="14080" width="9.15234375" style="16"/>
    <col min="14081" max="14081" width="4.15234375" style="16" customWidth="1"/>
    <col min="14082" max="14082" width="6.3046875" style="16" customWidth="1"/>
    <col min="14083" max="14083" width="16.69140625" style="16" bestFit="1" customWidth="1"/>
    <col min="14084" max="14084" width="0" style="16" hidden="1" customWidth="1"/>
    <col min="14085" max="14085" width="53.69140625" style="16" customWidth="1"/>
    <col min="14086" max="14086" width="12.15234375" style="16" customWidth="1"/>
    <col min="14087" max="14087" width="8.69140625" style="16" customWidth="1"/>
    <col min="14088" max="14088" width="5.15234375" style="16" customWidth="1"/>
    <col min="14089" max="14089" width="0" style="16" hidden="1" customWidth="1"/>
    <col min="14090" max="14090" width="4.69140625" style="16" customWidth="1"/>
    <col min="14091" max="14091" width="10.53515625" style="16" customWidth="1"/>
    <col min="14092" max="14092" width="1.15234375" style="16" customWidth="1"/>
    <col min="14093" max="14093" width="16.3046875" style="16" customWidth="1"/>
    <col min="14094" max="14094" width="11.3828125" style="16" bestFit="1" customWidth="1"/>
    <col min="14095" max="14095" width="0" style="16" hidden="1" customWidth="1"/>
    <col min="14096" max="14096" width="14.84375" style="16" customWidth="1"/>
    <col min="14097" max="14097" width="3.53515625" style="16" customWidth="1"/>
    <col min="14098" max="14098" width="2.15234375" style="16" customWidth="1"/>
    <col min="14099" max="14099" width="9.3046875" style="16" customWidth="1"/>
    <col min="14100" max="14100" width="20.69140625" style="16" bestFit="1" customWidth="1"/>
    <col min="14101" max="14101" width="11.53515625" style="16" customWidth="1"/>
    <col min="14102" max="14102" width="18.69140625" style="16" customWidth="1"/>
    <col min="14103" max="14103" width="19.3046875" style="16" bestFit="1" customWidth="1"/>
    <col min="14104" max="14104" width="25.3828125" style="16" customWidth="1"/>
    <col min="14105" max="14336" width="9.15234375" style="16"/>
    <col min="14337" max="14337" width="4.15234375" style="16" customWidth="1"/>
    <col min="14338" max="14338" width="6.3046875" style="16" customWidth="1"/>
    <col min="14339" max="14339" width="16.69140625" style="16" bestFit="1" customWidth="1"/>
    <col min="14340" max="14340" width="0" style="16" hidden="1" customWidth="1"/>
    <col min="14341" max="14341" width="53.69140625" style="16" customWidth="1"/>
    <col min="14342" max="14342" width="12.15234375" style="16" customWidth="1"/>
    <col min="14343" max="14343" width="8.69140625" style="16" customWidth="1"/>
    <col min="14344" max="14344" width="5.15234375" style="16" customWidth="1"/>
    <col min="14345" max="14345" width="0" style="16" hidden="1" customWidth="1"/>
    <col min="14346" max="14346" width="4.69140625" style="16" customWidth="1"/>
    <col min="14347" max="14347" width="10.53515625" style="16" customWidth="1"/>
    <col min="14348" max="14348" width="1.15234375" style="16" customWidth="1"/>
    <col min="14349" max="14349" width="16.3046875" style="16" customWidth="1"/>
    <col min="14350" max="14350" width="11.3828125" style="16" bestFit="1" customWidth="1"/>
    <col min="14351" max="14351" width="0" style="16" hidden="1" customWidth="1"/>
    <col min="14352" max="14352" width="14.84375" style="16" customWidth="1"/>
    <col min="14353" max="14353" width="3.53515625" style="16" customWidth="1"/>
    <col min="14354" max="14354" width="2.15234375" style="16" customWidth="1"/>
    <col min="14355" max="14355" width="9.3046875" style="16" customWidth="1"/>
    <col min="14356" max="14356" width="20.69140625" style="16" bestFit="1" customWidth="1"/>
    <col min="14357" max="14357" width="11.53515625" style="16" customWidth="1"/>
    <col min="14358" max="14358" width="18.69140625" style="16" customWidth="1"/>
    <col min="14359" max="14359" width="19.3046875" style="16" bestFit="1" customWidth="1"/>
    <col min="14360" max="14360" width="25.3828125" style="16" customWidth="1"/>
    <col min="14361" max="14592" width="9.15234375" style="16"/>
    <col min="14593" max="14593" width="4.15234375" style="16" customWidth="1"/>
    <col min="14594" max="14594" width="6.3046875" style="16" customWidth="1"/>
    <col min="14595" max="14595" width="16.69140625" style="16" bestFit="1" customWidth="1"/>
    <col min="14596" max="14596" width="0" style="16" hidden="1" customWidth="1"/>
    <col min="14597" max="14597" width="53.69140625" style="16" customWidth="1"/>
    <col min="14598" max="14598" width="12.15234375" style="16" customWidth="1"/>
    <col min="14599" max="14599" width="8.69140625" style="16" customWidth="1"/>
    <col min="14600" max="14600" width="5.15234375" style="16" customWidth="1"/>
    <col min="14601" max="14601" width="0" style="16" hidden="1" customWidth="1"/>
    <col min="14602" max="14602" width="4.69140625" style="16" customWidth="1"/>
    <col min="14603" max="14603" width="10.53515625" style="16" customWidth="1"/>
    <col min="14604" max="14604" width="1.15234375" style="16" customWidth="1"/>
    <col min="14605" max="14605" width="16.3046875" style="16" customWidth="1"/>
    <col min="14606" max="14606" width="11.3828125" style="16" bestFit="1" customWidth="1"/>
    <col min="14607" max="14607" width="0" style="16" hidden="1" customWidth="1"/>
    <col min="14608" max="14608" width="14.84375" style="16" customWidth="1"/>
    <col min="14609" max="14609" width="3.53515625" style="16" customWidth="1"/>
    <col min="14610" max="14610" width="2.15234375" style="16" customWidth="1"/>
    <col min="14611" max="14611" width="9.3046875" style="16" customWidth="1"/>
    <col min="14612" max="14612" width="20.69140625" style="16" bestFit="1" customWidth="1"/>
    <col min="14613" max="14613" width="11.53515625" style="16" customWidth="1"/>
    <col min="14614" max="14614" width="18.69140625" style="16" customWidth="1"/>
    <col min="14615" max="14615" width="19.3046875" style="16" bestFit="1" customWidth="1"/>
    <col min="14616" max="14616" width="25.3828125" style="16" customWidth="1"/>
    <col min="14617" max="14848" width="9.15234375" style="16"/>
    <col min="14849" max="14849" width="4.15234375" style="16" customWidth="1"/>
    <col min="14850" max="14850" width="6.3046875" style="16" customWidth="1"/>
    <col min="14851" max="14851" width="16.69140625" style="16" bestFit="1" customWidth="1"/>
    <col min="14852" max="14852" width="0" style="16" hidden="1" customWidth="1"/>
    <col min="14853" max="14853" width="53.69140625" style="16" customWidth="1"/>
    <col min="14854" max="14854" width="12.15234375" style="16" customWidth="1"/>
    <col min="14855" max="14855" width="8.69140625" style="16" customWidth="1"/>
    <col min="14856" max="14856" width="5.15234375" style="16" customWidth="1"/>
    <col min="14857" max="14857" width="0" style="16" hidden="1" customWidth="1"/>
    <col min="14858" max="14858" width="4.69140625" style="16" customWidth="1"/>
    <col min="14859" max="14859" width="10.53515625" style="16" customWidth="1"/>
    <col min="14860" max="14860" width="1.15234375" style="16" customWidth="1"/>
    <col min="14861" max="14861" width="16.3046875" style="16" customWidth="1"/>
    <col min="14862" max="14862" width="11.3828125" style="16" bestFit="1" customWidth="1"/>
    <col min="14863" max="14863" width="0" style="16" hidden="1" customWidth="1"/>
    <col min="14864" max="14864" width="14.84375" style="16" customWidth="1"/>
    <col min="14865" max="14865" width="3.53515625" style="16" customWidth="1"/>
    <col min="14866" max="14866" width="2.15234375" style="16" customWidth="1"/>
    <col min="14867" max="14867" width="9.3046875" style="16" customWidth="1"/>
    <col min="14868" max="14868" width="20.69140625" style="16" bestFit="1" customWidth="1"/>
    <col min="14869" max="14869" width="11.53515625" style="16" customWidth="1"/>
    <col min="14870" max="14870" width="18.69140625" style="16" customWidth="1"/>
    <col min="14871" max="14871" width="19.3046875" style="16" bestFit="1" customWidth="1"/>
    <col min="14872" max="14872" width="25.3828125" style="16" customWidth="1"/>
    <col min="14873" max="15104" width="9.15234375" style="16"/>
    <col min="15105" max="15105" width="4.15234375" style="16" customWidth="1"/>
    <col min="15106" max="15106" width="6.3046875" style="16" customWidth="1"/>
    <col min="15107" max="15107" width="16.69140625" style="16" bestFit="1" customWidth="1"/>
    <col min="15108" max="15108" width="0" style="16" hidden="1" customWidth="1"/>
    <col min="15109" max="15109" width="53.69140625" style="16" customWidth="1"/>
    <col min="15110" max="15110" width="12.15234375" style="16" customWidth="1"/>
    <col min="15111" max="15111" width="8.69140625" style="16" customWidth="1"/>
    <col min="15112" max="15112" width="5.15234375" style="16" customWidth="1"/>
    <col min="15113" max="15113" width="0" style="16" hidden="1" customWidth="1"/>
    <col min="15114" max="15114" width="4.69140625" style="16" customWidth="1"/>
    <col min="15115" max="15115" width="10.53515625" style="16" customWidth="1"/>
    <col min="15116" max="15116" width="1.15234375" style="16" customWidth="1"/>
    <col min="15117" max="15117" width="16.3046875" style="16" customWidth="1"/>
    <col min="15118" max="15118" width="11.3828125" style="16" bestFit="1" customWidth="1"/>
    <col min="15119" max="15119" width="0" style="16" hidden="1" customWidth="1"/>
    <col min="15120" max="15120" width="14.84375" style="16" customWidth="1"/>
    <col min="15121" max="15121" width="3.53515625" style="16" customWidth="1"/>
    <col min="15122" max="15122" width="2.15234375" style="16" customWidth="1"/>
    <col min="15123" max="15123" width="9.3046875" style="16" customWidth="1"/>
    <col min="15124" max="15124" width="20.69140625" style="16" bestFit="1" customWidth="1"/>
    <col min="15125" max="15125" width="11.53515625" style="16" customWidth="1"/>
    <col min="15126" max="15126" width="18.69140625" style="16" customWidth="1"/>
    <col min="15127" max="15127" width="19.3046875" style="16" bestFit="1" customWidth="1"/>
    <col min="15128" max="15128" width="25.3828125" style="16" customWidth="1"/>
    <col min="15129" max="15360" width="9.15234375" style="16"/>
    <col min="15361" max="15361" width="4.15234375" style="16" customWidth="1"/>
    <col min="15362" max="15362" width="6.3046875" style="16" customWidth="1"/>
    <col min="15363" max="15363" width="16.69140625" style="16" bestFit="1" customWidth="1"/>
    <col min="15364" max="15364" width="0" style="16" hidden="1" customWidth="1"/>
    <col min="15365" max="15365" width="53.69140625" style="16" customWidth="1"/>
    <col min="15366" max="15366" width="12.15234375" style="16" customWidth="1"/>
    <col min="15367" max="15367" width="8.69140625" style="16" customWidth="1"/>
    <col min="15368" max="15368" width="5.15234375" style="16" customWidth="1"/>
    <col min="15369" max="15369" width="0" style="16" hidden="1" customWidth="1"/>
    <col min="15370" max="15370" width="4.69140625" style="16" customWidth="1"/>
    <col min="15371" max="15371" width="10.53515625" style="16" customWidth="1"/>
    <col min="15372" max="15372" width="1.15234375" style="16" customWidth="1"/>
    <col min="15373" max="15373" width="16.3046875" style="16" customWidth="1"/>
    <col min="15374" max="15374" width="11.3828125" style="16" bestFit="1" customWidth="1"/>
    <col min="15375" max="15375" width="0" style="16" hidden="1" customWidth="1"/>
    <col min="15376" max="15376" width="14.84375" style="16" customWidth="1"/>
    <col min="15377" max="15377" width="3.53515625" style="16" customWidth="1"/>
    <col min="15378" max="15378" width="2.15234375" style="16" customWidth="1"/>
    <col min="15379" max="15379" width="9.3046875" style="16" customWidth="1"/>
    <col min="15380" max="15380" width="20.69140625" style="16" bestFit="1" customWidth="1"/>
    <col min="15381" max="15381" width="11.53515625" style="16" customWidth="1"/>
    <col min="15382" max="15382" width="18.69140625" style="16" customWidth="1"/>
    <col min="15383" max="15383" width="19.3046875" style="16" bestFit="1" customWidth="1"/>
    <col min="15384" max="15384" width="25.3828125" style="16" customWidth="1"/>
    <col min="15385" max="15616" width="9.15234375" style="16"/>
    <col min="15617" max="15617" width="4.15234375" style="16" customWidth="1"/>
    <col min="15618" max="15618" width="6.3046875" style="16" customWidth="1"/>
    <col min="15619" max="15619" width="16.69140625" style="16" bestFit="1" customWidth="1"/>
    <col min="15620" max="15620" width="0" style="16" hidden="1" customWidth="1"/>
    <col min="15621" max="15621" width="53.69140625" style="16" customWidth="1"/>
    <col min="15622" max="15622" width="12.15234375" style="16" customWidth="1"/>
    <col min="15623" max="15623" width="8.69140625" style="16" customWidth="1"/>
    <col min="15624" max="15624" width="5.15234375" style="16" customWidth="1"/>
    <col min="15625" max="15625" width="0" style="16" hidden="1" customWidth="1"/>
    <col min="15626" max="15626" width="4.69140625" style="16" customWidth="1"/>
    <col min="15627" max="15627" width="10.53515625" style="16" customWidth="1"/>
    <col min="15628" max="15628" width="1.15234375" style="16" customWidth="1"/>
    <col min="15629" max="15629" width="16.3046875" style="16" customWidth="1"/>
    <col min="15630" max="15630" width="11.3828125" style="16" bestFit="1" customWidth="1"/>
    <col min="15631" max="15631" width="0" style="16" hidden="1" customWidth="1"/>
    <col min="15632" max="15632" width="14.84375" style="16" customWidth="1"/>
    <col min="15633" max="15633" width="3.53515625" style="16" customWidth="1"/>
    <col min="15634" max="15634" width="2.15234375" style="16" customWidth="1"/>
    <col min="15635" max="15635" width="9.3046875" style="16" customWidth="1"/>
    <col min="15636" max="15636" width="20.69140625" style="16" bestFit="1" customWidth="1"/>
    <col min="15637" max="15637" width="11.53515625" style="16" customWidth="1"/>
    <col min="15638" max="15638" width="18.69140625" style="16" customWidth="1"/>
    <col min="15639" max="15639" width="19.3046875" style="16" bestFit="1" customWidth="1"/>
    <col min="15640" max="15640" width="25.3828125" style="16" customWidth="1"/>
    <col min="15641" max="15872" width="9.15234375" style="16"/>
    <col min="15873" max="15873" width="4.15234375" style="16" customWidth="1"/>
    <col min="15874" max="15874" width="6.3046875" style="16" customWidth="1"/>
    <col min="15875" max="15875" width="16.69140625" style="16" bestFit="1" customWidth="1"/>
    <col min="15876" max="15876" width="0" style="16" hidden="1" customWidth="1"/>
    <col min="15877" max="15877" width="53.69140625" style="16" customWidth="1"/>
    <col min="15878" max="15878" width="12.15234375" style="16" customWidth="1"/>
    <col min="15879" max="15879" width="8.69140625" style="16" customWidth="1"/>
    <col min="15880" max="15880" width="5.15234375" style="16" customWidth="1"/>
    <col min="15881" max="15881" width="0" style="16" hidden="1" customWidth="1"/>
    <col min="15882" max="15882" width="4.69140625" style="16" customWidth="1"/>
    <col min="15883" max="15883" width="10.53515625" style="16" customWidth="1"/>
    <col min="15884" max="15884" width="1.15234375" style="16" customWidth="1"/>
    <col min="15885" max="15885" width="16.3046875" style="16" customWidth="1"/>
    <col min="15886" max="15886" width="11.3828125" style="16" bestFit="1" customWidth="1"/>
    <col min="15887" max="15887" width="0" style="16" hidden="1" customWidth="1"/>
    <col min="15888" max="15888" width="14.84375" style="16" customWidth="1"/>
    <col min="15889" max="15889" width="3.53515625" style="16" customWidth="1"/>
    <col min="15890" max="15890" width="2.15234375" style="16" customWidth="1"/>
    <col min="15891" max="15891" width="9.3046875" style="16" customWidth="1"/>
    <col min="15892" max="15892" width="20.69140625" style="16" bestFit="1" customWidth="1"/>
    <col min="15893" max="15893" width="11.53515625" style="16" customWidth="1"/>
    <col min="15894" max="15894" width="18.69140625" style="16" customWidth="1"/>
    <col min="15895" max="15895" width="19.3046875" style="16" bestFit="1" customWidth="1"/>
    <col min="15896" max="15896" width="25.3828125" style="16" customWidth="1"/>
    <col min="15897" max="16128" width="9.15234375" style="16"/>
    <col min="16129" max="16129" width="4.15234375" style="16" customWidth="1"/>
    <col min="16130" max="16130" width="6.3046875" style="16" customWidth="1"/>
    <col min="16131" max="16131" width="16.69140625" style="16" bestFit="1" customWidth="1"/>
    <col min="16132" max="16132" width="0" style="16" hidden="1" customWidth="1"/>
    <col min="16133" max="16133" width="53.69140625" style="16" customWidth="1"/>
    <col min="16134" max="16134" width="12.15234375" style="16" customWidth="1"/>
    <col min="16135" max="16135" width="8.69140625" style="16" customWidth="1"/>
    <col min="16136" max="16136" width="5.15234375" style="16" customWidth="1"/>
    <col min="16137" max="16137" width="0" style="16" hidden="1" customWidth="1"/>
    <col min="16138" max="16138" width="4.69140625" style="16" customWidth="1"/>
    <col min="16139" max="16139" width="10.53515625" style="16" customWidth="1"/>
    <col min="16140" max="16140" width="1.15234375" style="16" customWidth="1"/>
    <col min="16141" max="16141" width="16.3046875" style="16" customWidth="1"/>
    <col min="16142" max="16142" width="11.3828125" style="16" bestFit="1" customWidth="1"/>
    <col min="16143" max="16143" width="0" style="16" hidden="1" customWidth="1"/>
    <col min="16144" max="16144" width="14.84375" style="16" customWidth="1"/>
    <col min="16145" max="16145" width="3.53515625" style="16" customWidth="1"/>
    <col min="16146" max="16146" width="2.15234375" style="16" customWidth="1"/>
    <col min="16147" max="16147" width="9.3046875" style="16" customWidth="1"/>
    <col min="16148" max="16148" width="20.69140625" style="16" bestFit="1" customWidth="1"/>
    <col min="16149" max="16149" width="11.53515625" style="16" customWidth="1"/>
    <col min="16150" max="16150" width="18.69140625" style="16" customWidth="1"/>
    <col min="16151" max="16151" width="19.3046875" style="16" bestFit="1" customWidth="1"/>
    <col min="16152" max="16152" width="25.3828125" style="16" customWidth="1"/>
    <col min="16153" max="16384" width="9.15234375" style="16"/>
  </cols>
  <sheetData>
    <row r="1" spans="1:24" ht="74.25" customHeight="1" thickBot="1" x14ac:dyDescent="0.5">
      <c r="B1" s="8"/>
      <c r="C1" s="9"/>
      <c r="D1" s="10"/>
      <c r="E1" s="11" t="s">
        <v>160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3"/>
      <c r="W1" s="14"/>
    </row>
    <row r="2" spans="1:24" s="21" customFormat="1" ht="21.75" customHeight="1" thickBot="1" x14ac:dyDescent="0.45">
      <c r="A2" s="17"/>
      <c r="B2" s="18" t="s">
        <v>161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9"/>
      <c r="X2" s="20"/>
    </row>
    <row r="3" spans="1:24" s="38" customFormat="1" ht="16.5" customHeight="1" x14ac:dyDescent="0.4">
      <c r="A3" s="22"/>
      <c r="B3" s="23" t="s">
        <v>162</v>
      </c>
      <c r="C3" s="24"/>
      <c r="D3" s="24"/>
      <c r="E3" s="24"/>
      <c r="F3" s="24"/>
      <c r="G3" s="25"/>
      <c r="H3" s="26" t="s">
        <v>163</v>
      </c>
      <c r="I3" s="27"/>
      <c r="J3" s="27"/>
      <c r="K3" s="27"/>
      <c r="L3" s="27"/>
      <c r="M3" s="28"/>
      <c r="N3" s="29" t="s">
        <v>164</v>
      </c>
      <c r="O3" s="30"/>
      <c r="P3" s="31"/>
      <c r="Q3" s="32" t="s">
        <v>165</v>
      </c>
      <c r="R3" s="33"/>
      <c r="S3" s="33"/>
      <c r="T3" s="33"/>
      <c r="U3" s="34"/>
      <c r="V3" s="35"/>
      <c r="W3" s="36"/>
      <c r="X3" s="37"/>
    </row>
    <row r="4" spans="1:24" s="38" customFormat="1" ht="54" customHeight="1" x14ac:dyDescent="0.4">
      <c r="A4" s="22"/>
      <c r="B4" s="39"/>
      <c r="C4" s="40"/>
      <c r="D4" s="40"/>
      <c r="E4" s="40"/>
      <c r="F4" s="40"/>
      <c r="G4" s="41"/>
      <c r="H4" s="42"/>
      <c r="I4" s="43"/>
      <c r="J4" s="43"/>
      <c r="K4" s="43"/>
      <c r="L4" s="43"/>
      <c r="M4" s="44"/>
      <c r="N4" s="45"/>
      <c r="O4" s="46"/>
      <c r="P4" s="47"/>
      <c r="Q4" s="48" t="s">
        <v>166</v>
      </c>
      <c r="R4" s="49"/>
      <c r="S4" s="50"/>
      <c r="T4" s="51" t="s">
        <v>167</v>
      </c>
      <c r="U4" s="52"/>
      <c r="V4" s="53"/>
      <c r="W4" s="36"/>
      <c r="X4" s="37"/>
    </row>
    <row r="5" spans="1:24" s="38" customFormat="1" ht="38.25" customHeight="1" x14ac:dyDescent="0.4">
      <c r="A5" s="22"/>
      <c r="B5" s="54" t="s">
        <v>168</v>
      </c>
      <c r="C5" s="55"/>
      <c r="D5" s="56"/>
      <c r="E5" s="57" t="s">
        <v>169</v>
      </c>
      <c r="F5" s="55"/>
      <c r="G5" s="56"/>
      <c r="H5" s="57" t="s">
        <v>170</v>
      </c>
      <c r="I5" s="55"/>
      <c r="J5" s="55"/>
      <c r="K5" s="55"/>
      <c r="L5" s="55"/>
      <c r="M5" s="55"/>
      <c r="N5" s="55"/>
      <c r="O5" s="55"/>
      <c r="P5" s="56"/>
      <c r="Q5" s="58" t="s">
        <v>171</v>
      </c>
      <c r="R5" s="59"/>
      <c r="S5" s="59"/>
      <c r="T5" s="59"/>
      <c r="U5" s="59"/>
      <c r="V5" s="60"/>
      <c r="W5" s="61"/>
      <c r="X5" s="37"/>
    </row>
    <row r="6" spans="1:24" s="38" customFormat="1" ht="35.25" customHeight="1" x14ac:dyDescent="0.4">
      <c r="A6" s="22"/>
      <c r="B6" s="62" t="s">
        <v>172</v>
      </c>
      <c r="C6" s="63"/>
      <c r="D6" s="57" t="s">
        <v>173</v>
      </c>
      <c r="E6" s="56"/>
      <c r="F6" s="57" t="s">
        <v>174</v>
      </c>
      <c r="G6" s="56"/>
      <c r="H6" s="57" t="s">
        <v>175</v>
      </c>
      <c r="I6" s="55"/>
      <c r="J6" s="55"/>
      <c r="K6" s="55"/>
      <c r="L6" s="55"/>
      <c r="M6" s="56"/>
      <c r="N6" s="57" t="s">
        <v>176</v>
      </c>
      <c r="O6" s="55"/>
      <c r="P6" s="56"/>
      <c r="Q6" s="64"/>
      <c r="R6" s="65"/>
      <c r="S6" s="65"/>
      <c r="T6" s="65"/>
      <c r="U6" s="65"/>
      <c r="V6" s="66"/>
      <c r="W6" s="61"/>
      <c r="X6" s="37"/>
    </row>
    <row r="7" spans="1:24" s="79" customFormat="1" ht="20.25" customHeight="1" thickBot="1" x14ac:dyDescent="0.45">
      <c r="A7" s="67"/>
      <c r="B7" s="68" t="s">
        <v>177</v>
      </c>
      <c r="C7" s="69"/>
      <c r="D7" s="69"/>
      <c r="E7" s="69"/>
      <c r="F7" s="69"/>
      <c r="G7" s="70"/>
      <c r="H7" s="71" t="s">
        <v>178</v>
      </c>
      <c r="I7" s="72"/>
      <c r="J7" s="72"/>
      <c r="K7" s="72"/>
      <c r="L7" s="72"/>
      <c r="M7" s="72"/>
      <c r="N7" s="72"/>
      <c r="O7" s="72"/>
      <c r="P7" s="72"/>
      <c r="Q7" s="73"/>
      <c r="R7" s="74" t="s">
        <v>179</v>
      </c>
      <c r="S7" s="75"/>
      <c r="T7" s="75"/>
      <c r="U7" s="75"/>
      <c r="V7" s="76"/>
      <c r="W7" s="77"/>
      <c r="X7" s="78"/>
    </row>
    <row r="8" spans="1:24" s="85" customFormat="1" ht="20.25" customHeight="1" x14ac:dyDescent="0.4">
      <c r="A8" s="67"/>
      <c r="B8" s="80"/>
      <c r="C8" s="81"/>
      <c r="D8" s="81"/>
      <c r="E8" s="81"/>
      <c r="F8" s="81"/>
      <c r="G8" s="81"/>
      <c r="H8" s="77"/>
      <c r="I8" s="77"/>
      <c r="J8" s="77"/>
      <c r="K8" s="77"/>
      <c r="L8" s="77"/>
      <c r="M8" s="77"/>
      <c r="N8" s="77"/>
      <c r="O8" s="77"/>
      <c r="P8" s="77"/>
      <c r="Q8" s="77"/>
      <c r="R8" s="82"/>
      <c r="S8" s="82"/>
      <c r="T8" s="82"/>
      <c r="U8" s="82"/>
      <c r="V8" s="83"/>
      <c r="W8" s="77"/>
      <c r="X8" s="84"/>
    </row>
    <row r="9" spans="1:24" s="85" customFormat="1" ht="20.25" customHeight="1" thickBot="1" x14ac:dyDescent="0.45">
      <c r="A9" s="67"/>
      <c r="B9" s="80"/>
      <c r="C9" s="81"/>
      <c r="D9" s="81"/>
      <c r="E9" s="81"/>
      <c r="F9" s="81"/>
      <c r="G9" s="81"/>
      <c r="H9" s="77"/>
      <c r="I9" s="77"/>
      <c r="J9" s="77"/>
      <c r="K9" s="77"/>
      <c r="L9" s="77"/>
      <c r="M9" s="77"/>
      <c r="N9" s="77"/>
      <c r="O9" s="77"/>
      <c r="P9" s="77"/>
      <c r="Q9" s="77"/>
      <c r="R9" s="82"/>
      <c r="S9" s="82"/>
      <c r="T9" s="82"/>
      <c r="U9" s="82"/>
      <c r="V9" s="83"/>
      <c r="W9" s="77"/>
      <c r="X9" s="84"/>
    </row>
    <row r="10" spans="1:24" s="105" customFormat="1" ht="33" customHeight="1" x14ac:dyDescent="0.4">
      <c r="A10" s="17"/>
      <c r="B10" s="86">
        <v>10</v>
      </c>
      <c r="C10" s="87" t="s">
        <v>180</v>
      </c>
      <c r="D10" s="88"/>
      <c r="E10" s="89"/>
      <c r="F10" s="90">
        <v>0</v>
      </c>
      <c r="G10" s="91"/>
      <c r="H10" s="92" t="s">
        <v>181</v>
      </c>
      <c r="I10" s="93"/>
      <c r="J10" s="93"/>
      <c r="K10" s="93"/>
      <c r="L10" s="93"/>
      <c r="M10" s="94"/>
      <c r="N10" s="95" t="s">
        <v>182</v>
      </c>
      <c r="O10" s="96"/>
      <c r="P10" s="97"/>
      <c r="Q10" s="98"/>
      <c r="R10" s="99" t="s">
        <v>183</v>
      </c>
      <c r="S10" s="100"/>
      <c r="T10" s="100"/>
      <c r="U10" s="101"/>
      <c r="V10" s="102"/>
      <c r="W10" s="103"/>
      <c r="X10" s="104"/>
    </row>
    <row r="11" spans="1:24" s="105" customFormat="1" ht="29.25" customHeight="1" x14ac:dyDescent="0.4">
      <c r="A11" s="17"/>
      <c r="B11" s="106">
        <v>20</v>
      </c>
      <c r="C11" s="107" t="s">
        <v>184</v>
      </c>
      <c r="D11" s="108"/>
      <c r="E11" s="109"/>
      <c r="F11" s="110">
        <f>'[1]Tir 2018 - WHT'!I18</f>
        <v>0</v>
      </c>
      <c r="G11" s="111"/>
      <c r="H11" s="112"/>
      <c r="I11" s="113"/>
      <c r="J11" s="113"/>
      <c r="K11" s="113"/>
      <c r="L11" s="113"/>
      <c r="M11" s="114"/>
      <c r="N11" s="115" t="s">
        <v>185</v>
      </c>
      <c r="O11" s="116"/>
      <c r="P11" s="117"/>
      <c r="Q11" s="118"/>
      <c r="R11" s="119" t="s">
        <v>186</v>
      </c>
      <c r="S11" s="120"/>
      <c r="T11" s="120"/>
      <c r="U11" s="121"/>
      <c r="V11" s="122"/>
      <c r="W11" s="123"/>
      <c r="X11" s="104"/>
    </row>
    <row r="12" spans="1:24" s="105" customFormat="1" ht="5.25" customHeight="1" x14ac:dyDescent="0.4">
      <c r="A12" s="17"/>
      <c r="B12" s="124"/>
      <c r="C12" s="125"/>
      <c r="D12" s="126"/>
      <c r="E12" s="127"/>
      <c r="F12" s="128"/>
      <c r="G12" s="129"/>
      <c r="H12" s="112"/>
      <c r="I12" s="113"/>
      <c r="J12" s="113"/>
      <c r="K12" s="113"/>
      <c r="L12" s="113"/>
      <c r="M12" s="114"/>
      <c r="N12" s="130"/>
      <c r="O12" s="131"/>
      <c r="P12" s="132"/>
      <c r="Q12" s="133"/>
      <c r="R12" s="134"/>
      <c r="S12" s="135"/>
      <c r="T12" s="135"/>
      <c r="U12" s="136"/>
      <c r="V12" s="137"/>
      <c r="W12" s="123"/>
      <c r="X12" s="104"/>
    </row>
    <row r="13" spans="1:24" s="105" customFormat="1" ht="19.5" hidden="1" customHeight="1" x14ac:dyDescent="0.4">
      <c r="A13" s="17"/>
      <c r="B13" s="138"/>
      <c r="C13" s="139"/>
      <c r="D13" s="140"/>
      <c r="E13" s="140"/>
      <c r="F13" s="141"/>
      <c r="G13" s="141"/>
      <c r="H13" s="112"/>
      <c r="I13" s="113"/>
      <c r="J13" s="113"/>
      <c r="K13" s="113"/>
      <c r="L13" s="113"/>
      <c r="M13" s="114"/>
      <c r="N13" s="142"/>
      <c r="O13" s="143"/>
      <c r="P13" s="144"/>
      <c r="Q13" s="145"/>
      <c r="R13" s="146"/>
      <c r="S13" s="147"/>
      <c r="T13" s="147"/>
      <c r="U13" s="147"/>
      <c r="V13" s="148"/>
      <c r="W13" s="123"/>
      <c r="X13" s="104"/>
    </row>
    <row r="14" spans="1:24" s="105" customFormat="1" ht="18" customHeight="1" x14ac:dyDescent="0.4">
      <c r="A14" s="17"/>
      <c r="B14" s="106">
        <v>30</v>
      </c>
      <c r="C14" s="107" t="s">
        <v>187</v>
      </c>
      <c r="D14" s="108"/>
      <c r="E14" s="109"/>
      <c r="F14" s="110">
        <f>'[1]Tir 2018 - WHT'!J19</f>
        <v>0</v>
      </c>
      <c r="G14" s="111"/>
      <c r="H14" s="112"/>
      <c r="I14" s="113"/>
      <c r="J14" s="113"/>
      <c r="K14" s="113"/>
      <c r="L14" s="113"/>
      <c r="M14" s="114"/>
      <c r="N14" s="107" t="s">
        <v>188</v>
      </c>
      <c r="O14" s="108"/>
      <c r="P14" s="108"/>
      <c r="Q14" s="108"/>
      <c r="R14" s="108"/>
      <c r="S14" s="108"/>
      <c r="T14" s="108"/>
      <c r="U14" s="108"/>
      <c r="V14" s="149"/>
      <c r="W14" s="123"/>
      <c r="X14" s="104"/>
    </row>
    <row r="15" spans="1:24" s="105" customFormat="1" ht="20.25" customHeight="1" x14ac:dyDescent="0.4">
      <c r="A15" s="17"/>
      <c r="B15" s="150"/>
      <c r="C15" s="151"/>
      <c r="D15" s="152"/>
      <c r="E15" s="153"/>
      <c r="F15" s="154"/>
      <c r="G15" s="155"/>
      <c r="H15" s="112"/>
      <c r="I15" s="113"/>
      <c r="J15" s="113"/>
      <c r="K15" s="113"/>
      <c r="L15" s="113"/>
      <c r="M15" s="114"/>
      <c r="N15" s="151"/>
      <c r="O15" s="152"/>
      <c r="P15" s="152"/>
      <c r="Q15" s="152"/>
      <c r="R15" s="152"/>
      <c r="S15" s="152"/>
      <c r="T15" s="152"/>
      <c r="U15" s="152"/>
      <c r="V15" s="156"/>
      <c r="W15" s="123"/>
      <c r="X15" s="104"/>
    </row>
    <row r="16" spans="1:24" s="105" customFormat="1" ht="22.5" customHeight="1" thickBot="1" x14ac:dyDescent="0.45">
      <c r="A16" s="17"/>
      <c r="B16" s="157"/>
      <c r="C16" s="158"/>
      <c r="D16" s="159"/>
      <c r="E16" s="160"/>
      <c r="F16" s="161"/>
      <c r="G16" s="162"/>
      <c r="H16" s="163"/>
      <c r="I16" s="164"/>
      <c r="J16" s="164"/>
      <c r="K16" s="164"/>
      <c r="L16" s="164"/>
      <c r="M16" s="165"/>
      <c r="N16" s="158"/>
      <c r="O16" s="159"/>
      <c r="P16" s="159"/>
      <c r="Q16" s="159"/>
      <c r="R16" s="159"/>
      <c r="S16" s="159"/>
      <c r="T16" s="159"/>
      <c r="U16" s="159"/>
      <c r="V16" s="166"/>
      <c r="W16" s="123"/>
      <c r="X16" s="104"/>
    </row>
    <row r="17" spans="2:23" ht="147.75" customHeight="1" thickTop="1" thickBot="1" x14ac:dyDescent="0.5">
      <c r="B17" s="167" t="s">
        <v>189</v>
      </c>
      <c r="C17" s="168"/>
      <c r="D17" s="168"/>
      <c r="E17" s="168"/>
      <c r="F17" s="168"/>
      <c r="G17" s="169"/>
      <c r="H17" s="170" t="s">
        <v>190</v>
      </c>
      <c r="I17" s="171"/>
      <c r="J17" s="171"/>
      <c r="K17" s="171"/>
      <c r="L17" s="171"/>
      <c r="M17" s="172"/>
      <c r="N17" s="170" t="s">
        <v>191</v>
      </c>
      <c r="O17" s="171"/>
      <c r="P17" s="171"/>
      <c r="Q17" s="171"/>
      <c r="R17" s="171"/>
      <c r="S17" s="171"/>
      <c r="T17" s="171"/>
      <c r="U17" s="171"/>
      <c r="V17" s="173"/>
      <c r="W17" s="174"/>
    </row>
    <row r="18" spans="2:23" x14ac:dyDescent="0.45">
      <c r="B18" s="175" t="s">
        <v>192</v>
      </c>
      <c r="N18" s="177"/>
      <c r="O18" s="7"/>
      <c r="P18" s="178"/>
      <c r="Q18" s="179"/>
      <c r="R18" s="179"/>
      <c r="S18" s="177"/>
      <c r="T18" s="177"/>
    </row>
    <row r="20" spans="2:23" x14ac:dyDescent="0.45">
      <c r="E20" s="15"/>
      <c r="T20" s="183"/>
    </row>
    <row r="21" spans="2:23" x14ac:dyDescent="0.45">
      <c r="E21" s="15"/>
      <c r="F21" s="15"/>
    </row>
    <row r="22" spans="2:23" x14ac:dyDescent="0.45">
      <c r="E22" s="184"/>
    </row>
    <row r="25" spans="2:23" x14ac:dyDescent="0.45">
      <c r="E25" s="15"/>
    </row>
    <row r="26" spans="2:23" x14ac:dyDescent="0.45">
      <c r="E26" s="15"/>
    </row>
    <row r="27" spans="2:23" x14ac:dyDescent="0.45">
      <c r="E27" s="15"/>
      <c r="M27" s="185"/>
      <c r="N27" s="185"/>
    </row>
    <row r="28" spans="2:23" x14ac:dyDescent="0.45">
      <c r="E28" s="15"/>
    </row>
  </sheetData>
  <mergeCells count="43">
    <mergeCell ref="M27:N27"/>
    <mergeCell ref="V11:V12"/>
    <mergeCell ref="B14:B16"/>
    <mergeCell ref="C14:E16"/>
    <mergeCell ref="F14:G16"/>
    <mergeCell ref="N14:V16"/>
    <mergeCell ref="B17:G17"/>
    <mergeCell ref="H17:M17"/>
    <mergeCell ref="N17:V17"/>
    <mergeCell ref="R10:U10"/>
    <mergeCell ref="B11:B12"/>
    <mergeCell ref="C11:E12"/>
    <mergeCell ref="F11:G12"/>
    <mergeCell ref="N11:O12"/>
    <mergeCell ref="P11:Q12"/>
    <mergeCell ref="R11:U12"/>
    <mergeCell ref="H6:M6"/>
    <mergeCell ref="N6:P6"/>
    <mergeCell ref="B7:G7"/>
    <mergeCell ref="H7:Q7"/>
    <mergeCell ref="R7:V7"/>
    <mergeCell ref="C10:E10"/>
    <mergeCell ref="F10:G10"/>
    <mergeCell ref="H10:M16"/>
    <mergeCell ref="N10:O10"/>
    <mergeCell ref="P10:Q10"/>
    <mergeCell ref="W3:W4"/>
    <mergeCell ref="Q4:S4"/>
    <mergeCell ref="T4:U4"/>
    <mergeCell ref="B5:D5"/>
    <mergeCell ref="E5:G5"/>
    <mergeCell ref="H5:P5"/>
    <mergeCell ref="Q5:V6"/>
    <mergeCell ref="W5:W6"/>
    <mergeCell ref="D6:E6"/>
    <mergeCell ref="F6:G6"/>
    <mergeCell ref="E1:T1"/>
    <mergeCell ref="B2:V2"/>
    <mergeCell ref="B3:G4"/>
    <mergeCell ref="H3:M4"/>
    <mergeCell ref="N3:P4"/>
    <mergeCell ref="Q3:U3"/>
    <mergeCell ref="V3: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B3" sqref="B3:D3"/>
    </sheetView>
  </sheetViews>
  <sheetFormatPr defaultColWidth="9.15234375" defaultRowHeight="53.25" customHeight="1" x14ac:dyDescent="0.45"/>
  <cols>
    <col min="1" max="1" width="2" style="7" customWidth="1"/>
    <col min="2" max="2" width="5.3828125" style="175" customWidth="1"/>
    <col min="3" max="3" width="18.15234375" style="289" customWidth="1"/>
    <col min="4" max="4" width="54.3828125" style="290" bestFit="1" customWidth="1"/>
    <col min="5" max="6" width="17.69140625" style="290" customWidth="1"/>
    <col min="7" max="7" width="17.69140625" style="291" customWidth="1"/>
    <col min="8" max="8" width="17.69140625" style="290" customWidth="1"/>
    <col min="9" max="9" width="20.69140625" style="297" bestFit="1" customWidth="1"/>
    <col min="10" max="10" width="18.69140625" style="190" customWidth="1"/>
    <col min="11" max="11" width="18" style="290" customWidth="1"/>
    <col min="12" max="12" width="19.3046875" style="290" customWidth="1"/>
    <col min="13" max="13" width="12.84375" style="294" bestFit="1" customWidth="1"/>
    <col min="14" max="14" width="18.53515625" style="190" bestFit="1" customWidth="1"/>
    <col min="15" max="15" width="17" style="15" bestFit="1" customWidth="1"/>
    <col min="16" max="16" width="19.3046875" style="15" bestFit="1" customWidth="1"/>
    <col min="17" max="17" width="14.15234375" style="16" bestFit="1" customWidth="1"/>
    <col min="18" max="22" width="9.15234375" style="16"/>
    <col min="23" max="23" width="11.3046875" style="16" bestFit="1" customWidth="1"/>
    <col min="24" max="256" width="9.15234375" style="16"/>
    <col min="257" max="257" width="2" style="16" customWidth="1"/>
    <col min="258" max="258" width="5.3828125" style="16" customWidth="1"/>
    <col min="259" max="259" width="18.15234375" style="16" customWidth="1"/>
    <col min="260" max="260" width="54.3828125" style="16" bestFit="1" customWidth="1"/>
    <col min="261" max="264" width="17.69140625" style="16" customWidth="1"/>
    <col min="265" max="265" width="20.69140625" style="16" bestFit="1" customWidth="1"/>
    <col min="266" max="266" width="18.69140625" style="16" customWidth="1"/>
    <col min="267" max="267" width="18" style="16" customWidth="1"/>
    <col min="268" max="268" width="19.3046875" style="16" customWidth="1"/>
    <col min="269" max="269" width="12.84375" style="16" bestFit="1" customWidth="1"/>
    <col min="270" max="270" width="18.53515625" style="16" bestFit="1" customWidth="1"/>
    <col min="271" max="271" width="17" style="16" bestFit="1" customWidth="1"/>
    <col min="272" max="272" width="19.3046875" style="16" bestFit="1" customWidth="1"/>
    <col min="273" max="273" width="14.15234375" style="16" bestFit="1" customWidth="1"/>
    <col min="274" max="278" width="9.15234375" style="16"/>
    <col min="279" max="279" width="11.3046875" style="16" bestFit="1" customWidth="1"/>
    <col min="280" max="512" width="9.15234375" style="16"/>
    <col min="513" max="513" width="2" style="16" customWidth="1"/>
    <col min="514" max="514" width="5.3828125" style="16" customWidth="1"/>
    <col min="515" max="515" width="18.15234375" style="16" customWidth="1"/>
    <col min="516" max="516" width="54.3828125" style="16" bestFit="1" customWidth="1"/>
    <col min="517" max="520" width="17.69140625" style="16" customWidth="1"/>
    <col min="521" max="521" width="20.69140625" style="16" bestFit="1" customWidth="1"/>
    <col min="522" max="522" width="18.69140625" style="16" customWidth="1"/>
    <col min="523" max="523" width="18" style="16" customWidth="1"/>
    <col min="524" max="524" width="19.3046875" style="16" customWidth="1"/>
    <col min="525" max="525" width="12.84375" style="16" bestFit="1" customWidth="1"/>
    <col min="526" max="526" width="18.53515625" style="16" bestFit="1" customWidth="1"/>
    <col min="527" max="527" width="17" style="16" bestFit="1" customWidth="1"/>
    <col min="528" max="528" width="19.3046875" style="16" bestFit="1" customWidth="1"/>
    <col min="529" max="529" width="14.15234375" style="16" bestFit="1" customWidth="1"/>
    <col min="530" max="534" width="9.15234375" style="16"/>
    <col min="535" max="535" width="11.3046875" style="16" bestFit="1" customWidth="1"/>
    <col min="536" max="768" width="9.15234375" style="16"/>
    <col min="769" max="769" width="2" style="16" customWidth="1"/>
    <col min="770" max="770" width="5.3828125" style="16" customWidth="1"/>
    <col min="771" max="771" width="18.15234375" style="16" customWidth="1"/>
    <col min="772" max="772" width="54.3828125" style="16" bestFit="1" customWidth="1"/>
    <col min="773" max="776" width="17.69140625" style="16" customWidth="1"/>
    <col min="777" max="777" width="20.69140625" style="16" bestFit="1" customWidth="1"/>
    <col min="778" max="778" width="18.69140625" style="16" customWidth="1"/>
    <col min="779" max="779" width="18" style="16" customWidth="1"/>
    <col min="780" max="780" width="19.3046875" style="16" customWidth="1"/>
    <col min="781" max="781" width="12.84375" style="16" bestFit="1" customWidth="1"/>
    <col min="782" max="782" width="18.53515625" style="16" bestFit="1" customWidth="1"/>
    <col min="783" max="783" width="17" style="16" bestFit="1" customWidth="1"/>
    <col min="784" max="784" width="19.3046875" style="16" bestFit="1" customWidth="1"/>
    <col min="785" max="785" width="14.15234375" style="16" bestFit="1" customWidth="1"/>
    <col min="786" max="790" width="9.15234375" style="16"/>
    <col min="791" max="791" width="11.3046875" style="16" bestFit="1" customWidth="1"/>
    <col min="792" max="1024" width="9.15234375" style="16"/>
    <col min="1025" max="1025" width="2" style="16" customWidth="1"/>
    <col min="1026" max="1026" width="5.3828125" style="16" customWidth="1"/>
    <col min="1027" max="1027" width="18.15234375" style="16" customWidth="1"/>
    <col min="1028" max="1028" width="54.3828125" style="16" bestFit="1" customWidth="1"/>
    <col min="1029" max="1032" width="17.69140625" style="16" customWidth="1"/>
    <col min="1033" max="1033" width="20.69140625" style="16" bestFit="1" customWidth="1"/>
    <col min="1034" max="1034" width="18.69140625" style="16" customWidth="1"/>
    <col min="1035" max="1035" width="18" style="16" customWidth="1"/>
    <col min="1036" max="1036" width="19.3046875" style="16" customWidth="1"/>
    <col min="1037" max="1037" width="12.84375" style="16" bestFit="1" customWidth="1"/>
    <col min="1038" max="1038" width="18.53515625" style="16" bestFit="1" customWidth="1"/>
    <col min="1039" max="1039" width="17" style="16" bestFit="1" customWidth="1"/>
    <col min="1040" max="1040" width="19.3046875" style="16" bestFit="1" customWidth="1"/>
    <col min="1041" max="1041" width="14.15234375" style="16" bestFit="1" customWidth="1"/>
    <col min="1042" max="1046" width="9.15234375" style="16"/>
    <col min="1047" max="1047" width="11.3046875" style="16" bestFit="1" customWidth="1"/>
    <col min="1048" max="1280" width="9.15234375" style="16"/>
    <col min="1281" max="1281" width="2" style="16" customWidth="1"/>
    <col min="1282" max="1282" width="5.3828125" style="16" customWidth="1"/>
    <col min="1283" max="1283" width="18.15234375" style="16" customWidth="1"/>
    <col min="1284" max="1284" width="54.3828125" style="16" bestFit="1" customWidth="1"/>
    <col min="1285" max="1288" width="17.69140625" style="16" customWidth="1"/>
    <col min="1289" max="1289" width="20.69140625" style="16" bestFit="1" customWidth="1"/>
    <col min="1290" max="1290" width="18.69140625" style="16" customWidth="1"/>
    <col min="1291" max="1291" width="18" style="16" customWidth="1"/>
    <col min="1292" max="1292" width="19.3046875" style="16" customWidth="1"/>
    <col min="1293" max="1293" width="12.84375" style="16" bestFit="1" customWidth="1"/>
    <col min="1294" max="1294" width="18.53515625" style="16" bestFit="1" customWidth="1"/>
    <col min="1295" max="1295" width="17" style="16" bestFit="1" customWidth="1"/>
    <col min="1296" max="1296" width="19.3046875" style="16" bestFit="1" customWidth="1"/>
    <col min="1297" max="1297" width="14.15234375" style="16" bestFit="1" customWidth="1"/>
    <col min="1298" max="1302" width="9.15234375" style="16"/>
    <col min="1303" max="1303" width="11.3046875" style="16" bestFit="1" customWidth="1"/>
    <col min="1304" max="1536" width="9.15234375" style="16"/>
    <col min="1537" max="1537" width="2" style="16" customWidth="1"/>
    <col min="1538" max="1538" width="5.3828125" style="16" customWidth="1"/>
    <col min="1539" max="1539" width="18.15234375" style="16" customWidth="1"/>
    <col min="1540" max="1540" width="54.3828125" style="16" bestFit="1" customWidth="1"/>
    <col min="1541" max="1544" width="17.69140625" style="16" customWidth="1"/>
    <col min="1545" max="1545" width="20.69140625" style="16" bestFit="1" customWidth="1"/>
    <col min="1546" max="1546" width="18.69140625" style="16" customWidth="1"/>
    <col min="1547" max="1547" width="18" style="16" customWidth="1"/>
    <col min="1548" max="1548" width="19.3046875" style="16" customWidth="1"/>
    <col min="1549" max="1549" width="12.84375" style="16" bestFit="1" customWidth="1"/>
    <col min="1550" max="1550" width="18.53515625" style="16" bestFit="1" customWidth="1"/>
    <col min="1551" max="1551" width="17" style="16" bestFit="1" customWidth="1"/>
    <col min="1552" max="1552" width="19.3046875" style="16" bestFit="1" customWidth="1"/>
    <col min="1553" max="1553" width="14.15234375" style="16" bestFit="1" customWidth="1"/>
    <col min="1554" max="1558" width="9.15234375" style="16"/>
    <col min="1559" max="1559" width="11.3046875" style="16" bestFit="1" customWidth="1"/>
    <col min="1560" max="1792" width="9.15234375" style="16"/>
    <col min="1793" max="1793" width="2" style="16" customWidth="1"/>
    <col min="1794" max="1794" width="5.3828125" style="16" customWidth="1"/>
    <col min="1795" max="1795" width="18.15234375" style="16" customWidth="1"/>
    <col min="1796" max="1796" width="54.3828125" style="16" bestFit="1" customWidth="1"/>
    <col min="1797" max="1800" width="17.69140625" style="16" customWidth="1"/>
    <col min="1801" max="1801" width="20.69140625" style="16" bestFit="1" customWidth="1"/>
    <col min="1802" max="1802" width="18.69140625" style="16" customWidth="1"/>
    <col min="1803" max="1803" width="18" style="16" customWidth="1"/>
    <col min="1804" max="1804" width="19.3046875" style="16" customWidth="1"/>
    <col min="1805" max="1805" width="12.84375" style="16" bestFit="1" customWidth="1"/>
    <col min="1806" max="1806" width="18.53515625" style="16" bestFit="1" customWidth="1"/>
    <col min="1807" max="1807" width="17" style="16" bestFit="1" customWidth="1"/>
    <col min="1808" max="1808" width="19.3046875" style="16" bestFit="1" customWidth="1"/>
    <col min="1809" max="1809" width="14.15234375" style="16" bestFit="1" customWidth="1"/>
    <col min="1810" max="1814" width="9.15234375" style="16"/>
    <col min="1815" max="1815" width="11.3046875" style="16" bestFit="1" customWidth="1"/>
    <col min="1816" max="2048" width="9.15234375" style="16"/>
    <col min="2049" max="2049" width="2" style="16" customWidth="1"/>
    <col min="2050" max="2050" width="5.3828125" style="16" customWidth="1"/>
    <col min="2051" max="2051" width="18.15234375" style="16" customWidth="1"/>
    <col min="2052" max="2052" width="54.3828125" style="16" bestFit="1" customWidth="1"/>
    <col min="2053" max="2056" width="17.69140625" style="16" customWidth="1"/>
    <col min="2057" max="2057" width="20.69140625" style="16" bestFit="1" customWidth="1"/>
    <col min="2058" max="2058" width="18.69140625" style="16" customWidth="1"/>
    <col min="2059" max="2059" width="18" style="16" customWidth="1"/>
    <col min="2060" max="2060" width="19.3046875" style="16" customWidth="1"/>
    <col min="2061" max="2061" width="12.84375" style="16" bestFit="1" customWidth="1"/>
    <col min="2062" max="2062" width="18.53515625" style="16" bestFit="1" customWidth="1"/>
    <col min="2063" max="2063" width="17" style="16" bestFit="1" customWidth="1"/>
    <col min="2064" max="2064" width="19.3046875" style="16" bestFit="1" customWidth="1"/>
    <col min="2065" max="2065" width="14.15234375" style="16" bestFit="1" customWidth="1"/>
    <col min="2066" max="2070" width="9.15234375" style="16"/>
    <col min="2071" max="2071" width="11.3046875" style="16" bestFit="1" customWidth="1"/>
    <col min="2072" max="2304" width="9.15234375" style="16"/>
    <col min="2305" max="2305" width="2" style="16" customWidth="1"/>
    <col min="2306" max="2306" width="5.3828125" style="16" customWidth="1"/>
    <col min="2307" max="2307" width="18.15234375" style="16" customWidth="1"/>
    <col min="2308" max="2308" width="54.3828125" style="16" bestFit="1" customWidth="1"/>
    <col min="2309" max="2312" width="17.69140625" style="16" customWidth="1"/>
    <col min="2313" max="2313" width="20.69140625" style="16" bestFit="1" customWidth="1"/>
    <col min="2314" max="2314" width="18.69140625" style="16" customWidth="1"/>
    <col min="2315" max="2315" width="18" style="16" customWidth="1"/>
    <col min="2316" max="2316" width="19.3046875" style="16" customWidth="1"/>
    <col min="2317" max="2317" width="12.84375" style="16" bestFit="1" customWidth="1"/>
    <col min="2318" max="2318" width="18.53515625" style="16" bestFit="1" customWidth="1"/>
    <col min="2319" max="2319" width="17" style="16" bestFit="1" customWidth="1"/>
    <col min="2320" max="2320" width="19.3046875" style="16" bestFit="1" customWidth="1"/>
    <col min="2321" max="2321" width="14.15234375" style="16" bestFit="1" customWidth="1"/>
    <col min="2322" max="2326" width="9.15234375" style="16"/>
    <col min="2327" max="2327" width="11.3046875" style="16" bestFit="1" customWidth="1"/>
    <col min="2328" max="2560" width="9.15234375" style="16"/>
    <col min="2561" max="2561" width="2" style="16" customWidth="1"/>
    <col min="2562" max="2562" width="5.3828125" style="16" customWidth="1"/>
    <col min="2563" max="2563" width="18.15234375" style="16" customWidth="1"/>
    <col min="2564" max="2564" width="54.3828125" style="16" bestFit="1" customWidth="1"/>
    <col min="2565" max="2568" width="17.69140625" style="16" customWidth="1"/>
    <col min="2569" max="2569" width="20.69140625" style="16" bestFit="1" customWidth="1"/>
    <col min="2570" max="2570" width="18.69140625" style="16" customWidth="1"/>
    <col min="2571" max="2571" width="18" style="16" customWidth="1"/>
    <col min="2572" max="2572" width="19.3046875" style="16" customWidth="1"/>
    <col min="2573" max="2573" width="12.84375" style="16" bestFit="1" customWidth="1"/>
    <col min="2574" max="2574" width="18.53515625" style="16" bestFit="1" customWidth="1"/>
    <col min="2575" max="2575" width="17" style="16" bestFit="1" customWidth="1"/>
    <col min="2576" max="2576" width="19.3046875" style="16" bestFit="1" customWidth="1"/>
    <col min="2577" max="2577" width="14.15234375" style="16" bestFit="1" customWidth="1"/>
    <col min="2578" max="2582" width="9.15234375" style="16"/>
    <col min="2583" max="2583" width="11.3046875" style="16" bestFit="1" customWidth="1"/>
    <col min="2584" max="2816" width="9.15234375" style="16"/>
    <col min="2817" max="2817" width="2" style="16" customWidth="1"/>
    <col min="2818" max="2818" width="5.3828125" style="16" customWidth="1"/>
    <col min="2819" max="2819" width="18.15234375" style="16" customWidth="1"/>
    <col min="2820" max="2820" width="54.3828125" style="16" bestFit="1" customWidth="1"/>
    <col min="2821" max="2824" width="17.69140625" style="16" customWidth="1"/>
    <col min="2825" max="2825" width="20.69140625" style="16" bestFit="1" customWidth="1"/>
    <col min="2826" max="2826" width="18.69140625" style="16" customWidth="1"/>
    <col min="2827" max="2827" width="18" style="16" customWidth="1"/>
    <col min="2828" max="2828" width="19.3046875" style="16" customWidth="1"/>
    <col min="2829" max="2829" width="12.84375" style="16" bestFit="1" customWidth="1"/>
    <col min="2830" max="2830" width="18.53515625" style="16" bestFit="1" customWidth="1"/>
    <col min="2831" max="2831" width="17" style="16" bestFit="1" customWidth="1"/>
    <col min="2832" max="2832" width="19.3046875" style="16" bestFit="1" customWidth="1"/>
    <col min="2833" max="2833" width="14.15234375" style="16" bestFit="1" customWidth="1"/>
    <col min="2834" max="2838" width="9.15234375" style="16"/>
    <col min="2839" max="2839" width="11.3046875" style="16" bestFit="1" customWidth="1"/>
    <col min="2840" max="3072" width="9.15234375" style="16"/>
    <col min="3073" max="3073" width="2" style="16" customWidth="1"/>
    <col min="3074" max="3074" width="5.3828125" style="16" customWidth="1"/>
    <col min="3075" max="3075" width="18.15234375" style="16" customWidth="1"/>
    <col min="3076" max="3076" width="54.3828125" style="16" bestFit="1" customWidth="1"/>
    <col min="3077" max="3080" width="17.69140625" style="16" customWidth="1"/>
    <col min="3081" max="3081" width="20.69140625" style="16" bestFit="1" customWidth="1"/>
    <col min="3082" max="3082" width="18.69140625" style="16" customWidth="1"/>
    <col min="3083" max="3083" width="18" style="16" customWidth="1"/>
    <col min="3084" max="3084" width="19.3046875" style="16" customWidth="1"/>
    <col min="3085" max="3085" width="12.84375" style="16" bestFit="1" customWidth="1"/>
    <col min="3086" max="3086" width="18.53515625" style="16" bestFit="1" customWidth="1"/>
    <col min="3087" max="3087" width="17" style="16" bestFit="1" customWidth="1"/>
    <col min="3088" max="3088" width="19.3046875" style="16" bestFit="1" customWidth="1"/>
    <col min="3089" max="3089" width="14.15234375" style="16" bestFit="1" customWidth="1"/>
    <col min="3090" max="3094" width="9.15234375" style="16"/>
    <col min="3095" max="3095" width="11.3046875" style="16" bestFit="1" customWidth="1"/>
    <col min="3096" max="3328" width="9.15234375" style="16"/>
    <col min="3329" max="3329" width="2" style="16" customWidth="1"/>
    <col min="3330" max="3330" width="5.3828125" style="16" customWidth="1"/>
    <col min="3331" max="3331" width="18.15234375" style="16" customWidth="1"/>
    <col min="3332" max="3332" width="54.3828125" style="16" bestFit="1" customWidth="1"/>
    <col min="3333" max="3336" width="17.69140625" style="16" customWidth="1"/>
    <col min="3337" max="3337" width="20.69140625" style="16" bestFit="1" customWidth="1"/>
    <col min="3338" max="3338" width="18.69140625" style="16" customWidth="1"/>
    <col min="3339" max="3339" width="18" style="16" customWidth="1"/>
    <col min="3340" max="3340" width="19.3046875" style="16" customWidth="1"/>
    <col min="3341" max="3341" width="12.84375" style="16" bestFit="1" customWidth="1"/>
    <col min="3342" max="3342" width="18.53515625" style="16" bestFit="1" customWidth="1"/>
    <col min="3343" max="3343" width="17" style="16" bestFit="1" customWidth="1"/>
    <col min="3344" max="3344" width="19.3046875" style="16" bestFit="1" customWidth="1"/>
    <col min="3345" max="3345" width="14.15234375" style="16" bestFit="1" customWidth="1"/>
    <col min="3346" max="3350" width="9.15234375" style="16"/>
    <col min="3351" max="3351" width="11.3046875" style="16" bestFit="1" customWidth="1"/>
    <col min="3352" max="3584" width="9.15234375" style="16"/>
    <col min="3585" max="3585" width="2" style="16" customWidth="1"/>
    <col min="3586" max="3586" width="5.3828125" style="16" customWidth="1"/>
    <col min="3587" max="3587" width="18.15234375" style="16" customWidth="1"/>
    <col min="3588" max="3588" width="54.3828125" style="16" bestFit="1" customWidth="1"/>
    <col min="3589" max="3592" width="17.69140625" style="16" customWidth="1"/>
    <col min="3593" max="3593" width="20.69140625" style="16" bestFit="1" customWidth="1"/>
    <col min="3594" max="3594" width="18.69140625" style="16" customWidth="1"/>
    <col min="3595" max="3595" width="18" style="16" customWidth="1"/>
    <col min="3596" max="3596" width="19.3046875" style="16" customWidth="1"/>
    <col min="3597" max="3597" width="12.84375" style="16" bestFit="1" customWidth="1"/>
    <col min="3598" max="3598" width="18.53515625" style="16" bestFit="1" customWidth="1"/>
    <col min="3599" max="3599" width="17" style="16" bestFit="1" customWidth="1"/>
    <col min="3600" max="3600" width="19.3046875" style="16" bestFit="1" customWidth="1"/>
    <col min="3601" max="3601" width="14.15234375" style="16" bestFit="1" customWidth="1"/>
    <col min="3602" max="3606" width="9.15234375" style="16"/>
    <col min="3607" max="3607" width="11.3046875" style="16" bestFit="1" customWidth="1"/>
    <col min="3608" max="3840" width="9.15234375" style="16"/>
    <col min="3841" max="3841" width="2" style="16" customWidth="1"/>
    <col min="3842" max="3842" width="5.3828125" style="16" customWidth="1"/>
    <col min="3843" max="3843" width="18.15234375" style="16" customWidth="1"/>
    <col min="3844" max="3844" width="54.3828125" style="16" bestFit="1" customWidth="1"/>
    <col min="3845" max="3848" width="17.69140625" style="16" customWidth="1"/>
    <col min="3849" max="3849" width="20.69140625" style="16" bestFit="1" customWidth="1"/>
    <col min="3850" max="3850" width="18.69140625" style="16" customWidth="1"/>
    <col min="3851" max="3851" width="18" style="16" customWidth="1"/>
    <col min="3852" max="3852" width="19.3046875" style="16" customWidth="1"/>
    <col min="3853" max="3853" width="12.84375" style="16" bestFit="1" customWidth="1"/>
    <col min="3854" max="3854" width="18.53515625" style="16" bestFit="1" customWidth="1"/>
    <col min="3855" max="3855" width="17" style="16" bestFit="1" customWidth="1"/>
    <col min="3856" max="3856" width="19.3046875" style="16" bestFit="1" customWidth="1"/>
    <col min="3857" max="3857" width="14.15234375" style="16" bestFit="1" customWidth="1"/>
    <col min="3858" max="3862" width="9.15234375" style="16"/>
    <col min="3863" max="3863" width="11.3046875" style="16" bestFit="1" customWidth="1"/>
    <col min="3864" max="4096" width="9.15234375" style="16"/>
    <col min="4097" max="4097" width="2" style="16" customWidth="1"/>
    <col min="4098" max="4098" width="5.3828125" style="16" customWidth="1"/>
    <col min="4099" max="4099" width="18.15234375" style="16" customWidth="1"/>
    <col min="4100" max="4100" width="54.3828125" style="16" bestFit="1" customWidth="1"/>
    <col min="4101" max="4104" width="17.69140625" style="16" customWidth="1"/>
    <col min="4105" max="4105" width="20.69140625" style="16" bestFit="1" customWidth="1"/>
    <col min="4106" max="4106" width="18.69140625" style="16" customWidth="1"/>
    <col min="4107" max="4107" width="18" style="16" customWidth="1"/>
    <col min="4108" max="4108" width="19.3046875" style="16" customWidth="1"/>
    <col min="4109" max="4109" width="12.84375" style="16" bestFit="1" customWidth="1"/>
    <col min="4110" max="4110" width="18.53515625" style="16" bestFit="1" customWidth="1"/>
    <col min="4111" max="4111" width="17" style="16" bestFit="1" customWidth="1"/>
    <col min="4112" max="4112" width="19.3046875" style="16" bestFit="1" customWidth="1"/>
    <col min="4113" max="4113" width="14.15234375" style="16" bestFit="1" customWidth="1"/>
    <col min="4114" max="4118" width="9.15234375" style="16"/>
    <col min="4119" max="4119" width="11.3046875" style="16" bestFit="1" customWidth="1"/>
    <col min="4120" max="4352" width="9.15234375" style="16"/>
    <col min="4353" max="4353" width="2" style="16" customWidth="1"/>
    <col min="4354" max="4354" width="5.3828125" style="16" customWidth="1"/>
    <col min="4355" max="4355" width="18.15234375" style="16" customWidth="1"/>
    <col min="4356" max="4356" width="54.3828125" style="16" bestFit="1" customWidth="1"/>
    <col min="4357" max="4360" width="17.69140625" style="16" customWidth="1"/>
    <col min="4361" max="4361" width="20.69140625" style="16" bestFit="1" customWidth="1"/>
    <col min="4362" max="4362" width="18.69140625" style="16" customWidth="1"/>
    <col min="4363" max="4363" width="18" style="16" customWidth="1"/>
    <col min="4364" max="4364" width="19.3046875" style="16" customWidth="1"/>
    <col min="4365" max="4365" width="12.84375" style="16" bestFit="1" customWidth="1"/>
    <col min="4366" max="4366" width="18.53515625" style="16" bestFit="1" customWidth="1"/>
    <col min="4367" max="4367" width="17" style="16" bestFit="1" customWidth="1"/>
    <col min="4368" max="4368" width="19.3046875" style="16" bestFit="1" customWidth="1"/>
    <col min="4369" max="4369" width="14.15234375" style="16" bestFit="1" customWidth="1"/>
    <col min="4370" max="4374" width="9.15234375" style="16"/>
    <col min="4375" max="4375" width="11.3046875" style="16" bestFit="1" customWidth="1"/>
    <col min="4376" max="4608" width="9.15234375" style="16"/>
    <col min="4609" max="4609" width="2" style="16" customWidth="1"/>
    <col min="4610" max="4610" width="5.3828125" style="16" customWidth="1"/>
    <col min="4611" max="4611" width="18.15234375" style="16" customWidth="1"/>
    <col min="4612" max="4612" width="54.3828125" style="16" bestFit="1" customWidth="1"/>
    <col min="4613" max="4616" width="17.69140625" style="16" customWidth="1"/>
    <col min="4617" max="4617" width="20.69140625" style="16" bestFit="1" customWidth="1"/>
    <col min="4618" max="4618" width="18.69140625" style="16" customWidth="1"/>
    <col min="4619" max="4619" width="18" style="16" customWidth="1"/>
    <col min="4620" max="4620" width="19.3046875" style="16" customWidth="1"/>
    <col min="4621" max="4621" width="12.84375" style="16" bestFit="1" customWidth="1"/>
    <col min="4622" max="4622" width="18.53515625" style="16" bestFit="1" customWidth="1"/>
    <col min="4623" max="4623" width="17" style="16" bestFit="1" customWidth="1"/>
    <col min="4624" max="4624" width="19.3046875" style="16" bestFit="1" customWidth="1"/>
    <col min="4625" max="4625" width="14.15234375" style="16" bestFit="1" customWidth="1"/>
    <col min="4626" max="4630" width="9.15234375" style="16"/>
    <col min="4631" max="4631" width="11.3046875" style="16" bestFit="1" customWidth="1"/>
    <col min="4632" max="4864" width="9.15234375" style="16"/>
    <col min="4865" max="4865" width="2" style="16" customWidth="1"/>
    <col min="4866" max="4866" width="5.3828125" style="16" customWidth="1"/>
    <col min="4867" max="4867" width="18.15234375" style="16" customWidth="1"/>
    <col min="4868" max="4868" width="54.3828125" style="16" bestFit="1" customWidth="1"/>
    <col min="4869" max="4872" width="17.69140625" style="16" customWidth="1"/>
    <col min="4873" max="4873" width="20.69140625" style="16" bestFit="1" customWidth="1"/>
    <col min="4874" max="4874" width="18.69140625" style="16" customWidth="1"/>
    <col min="4875" max="4875" width="18" style="16" customWidth="1"/>
    <col min="4876" max="4876" width="19.3046875" style="16" customWidth="1"/>
    <col min="4877" max="4877" width="12.84375" style="16" bestFit="1" customWidth="1"/>
    <col min="4878" max="4878" width="18.53515625" style="16" bestFit="1" customWidth="1"/>
    <col min="4879" max="4879" width="17" style="16" bestFit="1" customWidth="1"/>
    <col min="4880" max="4880" width="19.3046875" style="16" bestFit="1" customWidth="1"/>
    <col min="4881" max="4881" width="14.15234375" style="16" bestFit="1" customWidth="1"/>
    <col min="4882" max="4886" width="9.15234375" style="16"/>
    <col min="4887" max="4887" width="11.3046875" style="16" bestFit="1" customWidth="1"/>
    <col min="4888" max="5120" width="9.15234375" style="16"/>
    <col min="5121" max="5121" width="2" style="16" customWidth="1"/>
    <col min="5122" max="5122" width="5.3828125" style="16" customWidth="1"/>
    <col min="5123" max="5123" width="18.15234375" style="16" customWidth="1"/>
    <col min="5124" max="5124" width="54.3828125" style="16" bestFit="1" customWidth="1"/>
    <col min="5125" max="5128" width="17.69140625" style="16" customWidth="1"/>
    <col min="5129" max="5129" width="20.69140625" style="16" bestFit="1" customWidth="1"/>
    <col min="5130" max="5130" width="18.69140625" style="16" customWidth="1"/>
    <col min="5131" max="5131" width="18" style="16" customWidth="1"/>
    <col min="5132" max="5132" width="19.3046875" style="16" customWidth="1"/>
    <col min="5133" max="5133" width="12.84375" style="16" bestFit="1" customWidth="1"/>
    <col min="5134" max="5134" width="18.53515625" style="16" bestFit="1" customWidth="1"/>
    <col min="5135" max="5135" width="17" style="16" bestFit="1" customWidth="1"/>
    <col min="5136" max="5136" width="19.3046875" style="16" bestFit="1" customWidth="1"/>
    <col min="5137" max="5137" width="14.15234375" style="16" bestFit="1" customWidth="1"/>
    <col min="5138" max="5142" width="9.15234375" style="16"/>
    <col min="5143" max="5143" width="11.3046875" style="16" bestFit="1" customWidth="1"/>
    <col min="5144" max="5376" width="9.15234375" style="16"/>
    <col min="5377" max="5377" width="2" style="16" customWidth="1"/>
    <col min="5378" max="5378" width="5.3828125" style="16" customWidth="1"/>
    <col min="5379" max="5379" width="18.15234375" style="16" customWidth="1"/>
    <col min="5380" max="5380" width="54.3828125" style="16" bestFit="1" customWidth="1"/>
    <col min="5381" max="5384" width="17.69140625" style="16" customWidth="1"/>
    <col min="5385" max="5385" width="20.69140625" style="16" bestFit="1" customWidth="1"/>
    <col min="5386" max="5386" width="18.69140625" style="16" customWidth="1"/>
    <col min="5387" max="5387" width="18" style="16" customWidth="1"/>
    <col min="5388" max="5388" width="19.3046875" style="16" customWidth="1"/>
    <col min="5389" max="5389" width="12.84375" style="16" bestFit="1" customWidth="1"/>
    <col min="5390" max="5390" width="18.53515625" style="16" bestFit="1" customWidth="1"/>
    <col min="5391" max="5391" width="17" style="16" bestFit="1" customWidth="1"/>
    <col min="5392" max="5392" width="19.3046875" style="16" bestFit="1" customWidth="1"/>
    <col min="5393" max="5393" width="14.15234375" style="16" bestFit="1" customWidth="1"/>
    <col min="5394" max="5398" width="9.15234375" style="16"/>
    <col min="5399" max="5399" width="11.3046875" style="16" bestFit="1" customWidth="1"/>
    <col min="5400" max="5632" width="9.15234375" style="16"/>
    <col min="5633" max="5633" width="2" style="16" customWidth="1"/>
    <col min="5634" max="5634" width="5.3828125" style="16" customWidth="1"/>
    <col min="5635" max="5635" width="18.15234375" style="16" customWidth="1"/>
    <col min="5636" max="5636" width="54.3828125" style="16" bestFit="1" customWidth="1"/>
    <col min="5637" max="5640" width="17.69140625" style="16" customWidth="1"/>
    <col min="5641" max="5641" width="20.69140625" style="16" bestFit="1" customWidth="1"/>
    <col min="5642" max="5642" width="18.69140625" style="16" customWidth="1"/>
    <col min="5643" max="5643" width="18" style="16" customWidth="1"/>
    <col min="5644" max="5644" width="19.3046875" style="16" customWidth="1"/>
    <col min="5645" max="5645" width="12.84375" style="16" bestFit="1" customWidth="1"/>
    <col min="5646" max="5646" width="18.53515625" style="16" bestFit="1" customWidth="1"/>
    <col min="5647" max="5647" width="17" style="16" bestFit="1" customWidth="1"/>
    <col min="5648" max="5648" width="19.3046875" style="16" bestFit="1" customWidth="1"/>
    <col min="5649" max="5649" width="14.15234375" style="16" bestFit="1" customWidth="1"/>
    <col min="5650" max="5654" width="9.15234375" style="16"/>
    <col min="5655" max="5655" width="11.3046875" style="16" bestFit="1" customWidth="1"/>
    <col min="5656" max="5888" width="9.15234375" style="16"/>
    <col min="5889" max="5889" width="2" style="16" customWidth="1"/>
    <col min="5890" max="5890" width="5.3828125" style="16" customWidth="1"/>
    <col min="5891" max="5891" width="18.15234375" style="16" customWidth="1"/>
    <col min="5892" max="5892" width="54.3828125" style="16" bestFit="1" customWidth="1"/>
    <col min="5893" max="5896" width="17.69140625" style="16" customWidth="1"/>
    <col min="5897" max="5897" width="20.69140625" style="16" bestFit="1" customWidth="1"/>
    <col min="5898" max="5898" width="18.69140625" style="16" customWidth="1"/>
    <col min="5899" max="5899" width="18" style="16" customWidth="1"/>
    <col min="5900" max="5900" width="19.3046875" style="16" customWidth="1"/>
    <col min="5901" max="5901" width="12.84375" style="16" bestFit="1" customWidth="1"/>
    <col min="5902" max="5902" width="18.53515625" style="16" bestFit="1" customWidth="1"/>
    <col min="5903" max="5903" width="17" style="16" bestFit="1" customWidth="1"/>
    <col min="5904" max="5904" width="19.3046875" style="16" bestFit="1" customWidth="1"/>
    <col min="5905" max="5905" width="14.15234375" style="16" bestFit="1" customWidth="1"/>
    <col min="5906" max="5910" width="9.15234375" style="16"/>
    <col min="5911" max="5911" width="11.3046875" style="16" bestFit="1" customWidth="1"/>
    <col min="5912" max="6144" width="9.15234375" style="16"/>
    <col min="6145" max="6145" width="2" style="16" customWidth="1"/>
    <col min="6146" max="6146" width="5.3828125" style="16" customWidth="1"/>
    <col min="6147" max="6147" width="18.15234375" style="16" customWidth="1"/>
    <col min="6148" max="6148" width="54.3828125" style="16" bestFit="1" customWidth="1"/>
    <col min="6149" max="6152" width="17.69140625" style="16" customWidth="1"/>
    <col min="6153" max="6153" width="20.69140625" style="16" bestFit="1" customWidth="1"/>
    <col min="6154" max="6154" width="18.69140625" style="16" customWidth="1"/>
    <col min="6155" max="6155" width="18" style="16" customWidth="1"/>
    <col min="6156" max="6156" width="19.3046875" style="16" customWidth="1"/>
    <col min="6157" max="6157" width="12.84375" style="16" bestFit="1" customWidth="1"/>
    <col min="6158" max="6158" width="18.53515625" style="16" bestFit="1" customWidth="1"/>
    <col min="6159" max="6159" width="17" style="16" bestFit="1" customWidth="1"/>
    <col min="6160" max="6160" width="19.3046875" style="16" bestFit="1" customWidth="1"/>
    <col min="6161" max="6161" width="14.15234375" style="16" bestFit="1" customWidth="1"/>
    <col min="6162" max="6166" width="9.15234375" style="16"/>
    <col min="6167" max="6167" width="11.3046875" style="16" bestFit="1" customWidth="1"/>
    <col min="6168" max="6400" width="9.15234375" style="16"/>
    <col min="6401" max="6401" width="2" style="16" customWidth="1"/>
    <col min="6402" max="6402" width="5.3828125" style="16" customWidth="1"/>
    <col min="6403" max="6403" width="18.15234375" style="16" customWidth="1"/>
    <col min="6404" max="6404" width="54.3828125" style="16" bestFit="1" customWidth="1"/>
    <col min="6405" max="6408" width="17.69140625" style="16" customWidth="1"/>
    <col min="6409" max="6409" width="20.69140625" style="16" bestFit="1" customWidth="1"/>
    <col min="6410" max="6410" width="18.69140625" style="16" customWidth="1"/>
    <col min="6411" max="6411" width="18" style="16" customWidth="1"/>
    <col min="6412" max="6412" width="19.3046875" style="16" customWidth="1"/>
    <col min="6413" max="6413" width="12.84375" style="16" bestFit="1" customWidth="1"/>
    <col min="6414" max="6414" width="18.53515625" style="16" bestFit="1" customWidth="1"/>
    <col min="6415" max="6415" width="17" style="16" bestFit="1" customWidth="1"/>
    <col min="6416" max="6416" width="19.3046875" style="16" bestFit="1" customWidth="1"/>
    <col min="6417" max="6417" width="14.15234375" style="16" bestFit="1" customWidth="1"/>
    <col min="6418" max="6422" width="9.15234375" style="16"/>
    <col min="6423" max="6423" width="11.3046875" style="16" bestFit="1" customWidth="1"/>
    <col min="6424" max="6656" width="9.15234375" style="16"/>
    <col min="6657" max="6657" width="2" style="16" customWidth="1"/>
    <col min="6658" max="6658" width="5.3828125" style="16" customWidth="1"/>
    <col min="6659" max="6659" width="18.15234375" style="16" customWidth="1"/>
    <col min="6660" max="6660" width="54.3828125" style="16" bestFit="1" customWidth="1"/>
    <col min="6661" max="6664" width="17.69140625" style="16" customWidth="1"/>
    <col min="6665" max="6665" width="20.69140625" style="16" bestFit="1" customWidth="1"/>
    <col min="6666" max="6666" width="18.69140625" style="16" customWidth="1"/>
    <col min="6667" max="6667" width="18" style="16" customWidth="1"/>
    <col min="6668" max="6668" width="19.3046875" style="16" customWidth="1"/>
    <col min="6669" max="6669" width="12.84375" style="16" bestFit="1" customWidth="1"/>
    <col min="6670" max="6670" width="18.53515625" style="16" bestFit="1" customWidth="1"/>
    <col min="6671" max="6671" width="17" style="16" bestFit="1" customWidth="1"/>
    <col min="6672" max="6672" width="19.3046875" style="16" bestFit="1" customWidth="1"/>
    <col min="6673" max="6673" width="14.15234375" style="16" bestFit="1" customWidth="1"/>
    <col min="6674" max="6678" width="9.15234375" style="16"/>
    <col min="6679" max="6679" width="11.3046875" style="16" bestFit="1" customWidth="1"/>
    <col min="6680" max="6912" width="9.15234375" style="16"/>
    <col min="6913" max="6913" width="2" style="16" customWidth="1"/>
    <col min="6914" max="6914" width="5.3828125" style="16" customWidth="1"/>
    <col min="6915" max="6915" width="18.15234375" style="16" customWidth="1"/>
    <col min="6916" max="6916" width="54.3828125" style="16" bestFit="1" customWidth="1"/>
    <col min="6917" max="6920" width="17.69140625" style="16" customWidth="1"/>
    <col min="6921" max="6921" width="20.69140625" style="16" bestFit="1" customWidth="1"/>
    <col min="6922" max="6922" width="18.69140625" style="16" customWidth="1"/>
    <col min="6923" max="6923" width="18" style="16" customWidth="1"/>
    <col min="6924" max="6924" width="19.3046875" style="16" customWidth="1"/>
    <col min="6925" max="6925" width="12.84375" style="16" bestFit="1" customWidth="1"/>
    <col min="6926" max="6926" width="18.53515625" style="16" bestFit="1" customWidth="1"/>
    <col min="6927" max="6927" width="17" style="16" bestFit="1" customWidth="1"/>
    <col min="6928" max="6928" width="19.3046875" style="16" bestFit="1" customWidth="1"/>
    <col min="6929" max="6929" width="14.15234375" style="16" bestFit="1" customWidth="1"/>
    <col min="6930" max="6934" width="9.15234375" style="16"/>
    <col min="6935" max="6935" width="11.3046875" style="16" bestFit="1" customWidth="1"/>
    <col min="6936" max="7168" width="9.15234375" style="16"/>
    <col min="7169" max="7169" width="2" style="16" customWidth="1"/>
    <col min="7170" max="7170" width="5.3828125" style="16" customWidth="1"/>
    <col min="7171" max="7171" width="18.15234375" style="16" customWidth="1"/>
    <col min="7172" max="7172" width="54.3828125" style="16" bestFit="1" customWidth="1"/>
    <col min="7173" max="7176" width="17.69140625" style="16" customWidth="1"/>
    <col min="7177" max="7177" width="20.69140625" style="16" bestFit="1" customWidth="1"/>
    <col min="7178" max="7178" width="18.69140625" style="16" customWidth="1"/>
    <col min="7179" max="7179" width="18" style="16" customWidth="1"/>
    <col min="7180" max="7180" width="19.3046875" style="16" customWidth="1"/>
    <col min="7181" max="7181" width="12.84375" style="16" bestFit="1" customWidth="1"/>
    <col min="7182" max="7182" width="18.53515625" style="16" bestFit="1" customWidth="1"/>
    <col min="7183" max="7183" width="17" style="16" bestFit="1" customWidth="1"/>
    <col min="7184" max="7184" width="19.3046875" style="16" bestFit="1" customWidth="1"/>
    <col min="7185" max="7185" width="14.15234375" style="16" bestFit="1" customWidth="1"/>
    <col min="7186" max="7190" width="9.15234375" style="16"/>
    <col min="7191" max="7191" width="11.3046875" style="16" bestFit="1" customWidth="1"/>
    <col min="7192" max="7424" width="9.15234375" style="16"/>
    <col min="7425" max="7425" width="2" style="16" customWidth="1"/>
    <col min="7426" max="7426" width="5.3828125" style="16" customWidth="1"/>
    <col min="7427" max="7427" width="18.15234375" style="16" customWidth="1"/>
    <col min="7428" max="7428" width="54.3828125" style="16" bestFit="1" customWidth="1"/>
    <col min="7429" max="7432" width="17.69140625" style="16" customWidth="1"/>
    <col min="7433" max="7433" width="20.69140625" style="16" bestFit="1" customWidth="1"/>
    <col min="7434" max="7434" width="18.69140625" style="16" customWidth="1"/>
    <col min="7435" max="7435" width="18" style="16" customWidth="1"/>
    <col min="7436" max="7436" width="19.3046875" style="16" customWidth="1"/>
    <col min="7437" max="7437" width="12.84375" style="16" bestFit="1" customWidth="1"/>
    <col min="7438" max="7438" width="18.53515625" style="16" bestFit="1" customWidth="1"/>
    <col min="7439" max="7439" width="17" style="16" bestFit="1" customWidth="1"/>
    <col min="7440" max="7440" width="19.3046875" style="16" bestFit="1" customWidth="1"/>
    <col min="7441" max="7441" width="14.15234375" style="16" bestFit="1" customWidth="1"/>
    <col min="7442" max="7446" width="9.15234375" style="16"/>
    <col min="7447" max="7447" width="11.3046875" style="16" bestFit="1" customWidth="1"/>
    <col min="7448" max="7680" width="9.15234375" style="16"/>
    <col min="7681" max="7681" width="2" style="16" customWidth="1"/>
    <col min="7682" max="7682" width="5.3828125" style="16" customWidth="1"/>
    <col min="7683" max="7683" width="18.15234375" style="16" customWidth="1"/>
    <col min="7684" max="7684" width="54.3828125" style="16" bestFit="1" customWidth="1"/>
    <col min="7685" max="7688" width="17.69140625" style="16" customWidth="1"/>
    <col min="7689" max="7689" width="20.69140625" style="16" bestFit="1" customWidth="1"/>
    <col min="7690" max="7690" width="18.69140625" style="16" customWidth="1"/>
    <col min="7691" max="7691" width="18" style="16" customWidth="1"/>
    <col min="7692" max="7692" width="19.3046875" style="16" customWidth="1"/>
    <col min="7693" max="7693" width="12.84375" style="16" bestFit="1" customWidth="1"/>
    <col min="7694" max="7694" width="18.53515625" style="16" bestFit="1" customWidth="1"/>
    <col min="7695" max="7695" width="17" style="16" bestFit="1" customWidth="1"/>
    <col min="7696" max="7696" width="19.3046875" style="16" bestFit="1" customWidth="1"/>
    <col min="7697" max="7697" width="14.15234375" style="16" bestFit="1" customWidth="1"/>
    <col min="7698" max="7702" width="9.15234375" style="16"/>
    <col min="7703" max="7703" width="11.3046875" style="16" bestFit="1" customWidth="1"/>
    <col min="7704" max="7936" width="9.15234375" style="16"/>
    <col min="7937" max="7937" width="2" style="16" customWidth="1"/>
    <col min="7938" max="7938" width="5.3828125" style="16" customWidth="1"/>
    <col min="7939" max="7939" width="18.15234375" style="16" customWidth="1"/>
    <col min="7940" max="7940" width="54.3828125" style="16" bestFit="1" customWidth="1"/>
    <col min="7941" max="7944" width="17.69140625" style="16" customWidth="1"/>
    <col min="7945" max="7945" width="20.69140625" style="16" bestFit="1" customWidth="1"/>
    <col min="7946" max="7946" width="18.69140625" style="16" customWidth="1"/>
    <col min="7947" max="7947" width="18" style="16" customWidth="1"/>
    <col min="7948" max="7948" width="19.3046875" style="16" customWidth="1"/>
    <col min="7949" max="7949" width="12.84375" style="16" bestFit="1" customWidth="1"/>
    <col min="7950" max="7950" width="18.53515625" style="16" bestFit="1" customWidth="1"/>
    <col min="7951" max="7951" width="17" style="16" bestFit="1" customWidth="1"/>
    <col min="7952" max="7952" width="19.3046875" style="16" bestFit="1" customWidth="1"/>
    <col min="7953" max="7953" width="14.15234375" style="16" bestFit="1" customWidth="1"/>
    <col min="7954" max="7958" width="9.15234375" style="16"/>
    <col min="7959" max="7959" width="11.3046875" style="16" bestFit="1" customWidth="1"/>
    <col min="7960" max="8192" width="9.15234375" style="16"/>
    <col min="8193" max="8193" width="2" style="16" customWidth="1"/>
    <col min="8194" max="8194" width="5.3828125" style="16" customWidth="1"/>
    <col min="8195" max="8195" width="18.15234375" style="16" customWidth="1"/>
    <col min="8196" max="8196" width="54.3828125" style="16" bestFit="1" customWidth="1"/>
    <col min="8197" max="8200" width="17.69140625" style="16" customWidth="1"/>
    <col min="8201" max="8201" width="20.69140625" style="16" bestFit="1" customWidth="1"/>
    <col min="8202" max="8202" width="18.69140625" style="16" customWidth="1"/>
    <col min="8203" max="8203" width="18" style="16" customWidth="1"/>
    <col min="8204" max="8204" width="19.3046875" style="16" customWidth="1"/>
    <col min="8205" max="8205" width="12.84375" style="16" bestFit="1" customWidth="1"/>
    <col min="8206" max="8206" width="18.53515625" style="16" bestFit="1" customWidth="1"/>
    <col min="8207" max="8207" width="17" style="16" bestFit="1" customWidth="1"/>
    <col min="8208" max="8208" width="19.3046875" style="16" bestFit="1" customWidth="1"/>
    <col min="8209" max="8209" width="14.15234375" style="16" bestFit="1" customWidth="1"/>
    <col min="8210" max="8214" width="9.15234375" style="16"/>
    <col min="8215" max="8215" width="11.3046875" style="16" bestFit="1" customWidth="1"/>
    <col min="8216" max="8448" width="9.15234375" style="16"/>
    <col min="8449" max="8449" width="2" style="16" customWidth="1"/>
    <col min="8450" max="8450" width="5.3828125" style="16" customWidth="1"/>
    <col min="8451" max="8451" width="18.15234375" style="16" customWidth="1"/>
    <col min="8452" max="8452" width="54.3828125" style="16" bestFit="1" customWidth="1"/>
    <col min="8453" max="8456" width="17.69140625" style="16" customWidth="1"/>
    <col min="8457" max="8457" width="20.69140625" style="16" bestFit="1" customWidth="1"/>
    <col min="8458" max="8458" width="18.69140625" style="16" customWidth="1"/>
    <col min="8459" max="8459" width="18" style="16" customWidth="1"/>
    <col min="8460" max="8460" width="19.3046875" style="16" customWidth="1"/>
    <col min="8461" max="8461" width="12.84375" style="16" bestFit="1" customWidth="1"/>
    <col min="8462" max="8462" width="18.53515625" style="16" bestFit="1" customWidth="1"/>
    <col min="8463" max="8463" width="17" style="16" bestFit="1" customWidth="1"/>
    <col min="8464" max="8464" width="19.3046875" style="16" bestFit="1" customWidth="1"/>
    <col min="8465" max="8465" width="14.15234375" style="16" bestFit="1" customWidth="1"/>
    <col min="8466" max="8470" width="9.15234375" style="16"/>
    <col min="8471" max="8471" width="11.3046875" style="16" bestFit="1" customWidth="1"/>
    <col min="8472" max="8704" width="9.15234375" style="16"/>
    <col min="8705" max="8705" width="2" style="16" customWidth="1"/>
    <col min="8706" max="8706" width="5.3828125" style="16" customWidth="1"/>
    <col min="8707" max="8707" width="18.15234375" style="16" customWidth="1"/>
    <col min="8708" max="8708" width="54.3828125" style="16" bestFit="1" customWidth="1"/>
    <col min="8709" max="8712" width="17.69140625" style="16" customWidth="1"/>
    <col min="8713" max="8713" width="20.69140625" style="16" bestFit="1" customWidth="1"/>
    <col min="8714" max="8714" width="18.69140625" style="16" customWidth="1"/>
    <col min="8715" max="8715" width="18" style="16" customWidth="1"/>
    <col min="8716" max="8716" width="19.3046875" style="16" customWidth="1"/>
    <col min="8717" max="8717" width="12.84375" style="16" bestFit="1" customWidth="1"/>
    <col min="8718" max="8718" width="18.53515625" style="16" bestFit="1" customWidth="1"/>
    <col min="8719" max="8719" width="17" style="16" bestFit="1" customWidth="1"/>
    <col min="8720" max="8720" width="19.3046875" style="16" bestFit="1" customWidth="1"/>
    <col min="8721" max="8721" width="14.15234375" style="16" bestFit="1" customWidth="1"/>
    <col min="8722" max="8726" width="9.15234375" style="16"/>
    <col min="8727" max="8727" width="11.3046875" style="16" bestFit="1" customWidth="1"/>
    <col min="8728" max="8960" width="9.15234375" style="16"/>
    <col min="8961" max="8961" width="2" style="16" customWidth="1"/>
    <col min="8962" max="8962" width="5.3828125" style="16" customWidth="1"/>
    <col min="8963" max="8963" width="18.15234375" style="16" customWidth="1"/>
    <col min="8964" max="8964" width="54.3828125" style="16" bestFit="1" customWidth="1"/>
    <col min="8965" max="8968" width="17.69140625" style="16" customWidth="1"/>
    <col min="8969" max="8969" width="20.69140625" style="16" bestFit="1" customWidth="1"/>
    <col min="8970" max="8970" width="18.69140625" style="16" customWidth="1"/>
    <col min="8971" max="8971" width="18" style="16" customWidth="1"/>
    <col min="8972" max="8972" width="19.3046875" style="16" customWidth="1"/>
    <col min="8973" max="8973" width="12.84375" style="16" bestFit="1" customWidth="1"/>
    <col min="8974" max="8974" width="18.53515625" style="16" bestFit="1" customWidth="1"/>
    <col min="8975" max="8975" width="17" style="16" bestFit="1" customWidth="1"/>
    <col min="8976" max="8976" width="19.3046875" style="16" bestFit="1" customWidth="1"/>
    <col min="8977" max="8977" width="14.15234375" style="16" bestFit="1" customWidth="1"/>
    <col min="8978" max="8982" width="9.15234375" style="16"/>
    <col min="8983" max="8983" width="11.3046875" style="16" bestFit="1" customWidth="1"/>
    <col min="8984" max="9216" width="9.15234375" style="16"/>
    <col min="9217" max="9217" width="2" style="16" customWidth="1"/>
    <col min="9218" max="9218" width="5.3828125" style="16" customWidth="1"/>
    <col min="9219" max="9219" width="18.15234375" style="16" customWidth="1"/>
    <col min="9220" max="9220" width="54.3828125" style="16" bestFit="1" customWidth="1"/>
    <col min="9221" max="9224" width="17.69140625" style="16" customWidth="1"/>
    <col min="9225" max="9225" width="20.69140625" style="16" bestFit="1" customWidth="1"/>
    <col min="9226" max="9226" width="18.69140625" style="16" customWidth="1"/>
    <col min="9227" max="9227" width="18" style="16" customWidth="1"/>
    <col min="9228" max="9228" width="19.3046875" style="16" customWidth="1"/>
    <col min="9229" max="9229" width="12.84375" style="16" bestFit="1" customWidth="1"/>
    <col min="9230" max="9230" width="18.53515625" style="16" bestFit="1" customWidth="1"/>
    <col min="9231" max="9231" width="17" style="16" bestFit="1" customWidth="1"/>
    <col min="9232" max="9232" width="19.3046875" style="16" bestFit="1" customWidth="1"/>
    <col min="9233" max="9233" width="14.15234375" style="16" bestFit="1" customWidth="1"/>
    <col min="9234" max="9238" width="9.15234375" style="16"/>
    <col min="9239" max="9239" width="11.3046875" style="16" bestFit="1" customWidth="1"/>
    <col min="9240" max="9472" width="9.15234375" style="16"/>
    <col min="9473" max="9473" width="2" style="16" customWidth="1"/>
    <col min="9474" max="9474" width="5.3828125" style="16" customWidth="1"/>
    <col min="9475" max="9475" width="18.15234375" style="16" customWidth="1"/>
    <col min="9476" max="9476" width="54.3828125" style="16" bestFit="1" customWidth="1"/>
    <col min="9477" max="9480" width="17.69140625" style="16" customWidth="1"/>
    <col min="9481" max="9481" width="20.69140625" style="16" bestFit="1" customWidth="1"/>
    <col min="9482" max="9482" width="18.69140625" style="16" customWidth="1"/>
    <col min="9483" max="9483" width="18" style="16" customWidth="1"/>
    <col min="9484" max="9484" width="19.3046875" style="16" customWidth="1"/>
    <col min="9485" max="9485" width="12.84375" style="16" bestFit="1" customWidth="1"/>
    <col min="9486" max="9486" width="18.53515625" style="16" bestFit="1" customWidth="1"/>
    <col min="9487" max="9487" width="17" style="16" bestFit="1" customWidth="1"/>
    <col min="9488" max="9488" width="19.3046875" style="16" bestFit="1" customWidth="1"/>
    <col min="9489" max="9489" width="14.15234375" style="16" bestFit="1" customWidth="1"/>
    <col min="9490" max="9494" width="9.15234375" style="16"/>
    <col min="9495" max="9495" width="11.3046875" style="16" bestFit="1" customWidth="1"/>
    <col min="9496" max="9728" width="9.15234375" style="16"/>
    <col min="9729" max="9729" width="2" style="16" customWidth="1"/>
    <col min="9730" max="9730" width="5.3828125" style="16" customWidth="1"/>
    <col min="9731" max="9731" width="18.15234375" style="16" customWidth="1"/>
    <col min="9732" max="9732" width="54.3828125" style="16" bestFit="1" customWidth="1"/>
    <col min="9733" max="9736" width="17.69140625" style="16" customWidth="1"/>
    <col min="9737" max="9737" width="20.69140625" style="16" bestFit="1" customWidth="1"/>
    <col min="9738" max="9738" width="18.69140625" style="16" customWidth="1"/>
    <col min="9739" max="9739" width="18" style="16" customWidth="1"/>
    <col min="9740" max="9740" width="19.3046875" style="16" customWidth="1"/>
    <col min="9741" max="9741" width="12.84375" style="16" bestFit="1" customWidth="1"/>
    <col min="9742" max="9742" width="18.53515625" style="16" bestFit="1" customWidth="1"/>
    <col min="9743" max="9743" width="17" style="16" bestFit="1" customWidth="1"/>
    <col min="9744" max="9744" width="19.3046875" style="16" bestFit="1" customWidth="1"/>
    <col min="9745" max="9745" width="14.15234375" style="16" bestFit="1" customWidth="1"/>
    <col min="9746" max="9750" width="9.15234375" style="16"/>
    <col min="9751" max="9751" width="11.3046875" style="16" bestFit="1" customWidth="1"/>
    <col min="9752" max="9984" width="9.15234375" style="16"/>
    <col min="9985" max="9985" width="2" style="16" customWidth="1"/>
    <col min="9986" max="9986" width="5.3828125" style="16" customWidth="1"/>
    <col min="9987" max="9987" width="18.15234375" style="16" customWidth="1"/>
    <col min="9988" max="9988" width="54.3828125" style="16" bestFit="1" customWidth="1"/>
    <col min="9989" max="9992" width="17.69140625" style="16" customWidth="1"/>
    <col min="9993" max="9993" width="20.69140625" style="16" bestFit="1" customWidth="1"/>
    <col min="9994" max="9994" width="18.69140625" style="16" customWidth="1"/>
    <col min="9995" max="9995" width="18" style="16" customWidth="1"/>
    <col min="9996" max="9996" width="19.3046875" style="16" customWidth="1"/>
    <col min="9997" max="9997" width="12.84375" style="16" bestFit="1" customWidth="1"/>
    <col min="9998" max="9998" width="18.53515625" style="16" bestFit="1" customWidth="1"/>
    <col min="9999" max="9999" width="17" style="16" bestFit="1" customWidth="1"/>
    <col min="10000" max="10000" width="19.3046875" style="16" bestFit="1" customWidth="1"/>
    <col min="10001" max="10001" width="14.15234375" style="16" bestFit="1" customWidth="1"/>
    <col min="10002" max="10006" width="9.15234375" style="16"/>
    <col min="10007" max="10007" width="11.3046875" style="16" bestFit="1" customWidth="1"/>
    <col min="10008" max="10240" width="9.15234375" style="16"/>
    <col min="10241" max="10241" width="2" style="16" customWidth="1"/>
    <col min="10242" max="10242" width="5.3828125" style="16" customWidth="1"/>
    <col min="10243" max="10243" width="18.15234375" style="16" customWidth="1"/>
    <col min="10244" max="10244" width="54.3828125" style="16" bestFit="1" customWidth="1"/>
    <col min="10245" max="10248" width="17.69140625" style="16" customWidth="1"/>
    <col min="10249" max="10249" width="20.69140625" style="16" bestFit="1" customWidth="1"/>
    <col min="10250" max="10250" width="18.69140625" style="16" customWidth="1"/>
    <col min="10251" max="10251" width="18" style="16" customWidth="1"/>
    <col min="10252" max="10252" width="19.3046875" style="16" customWidth="1"/>
    <col min="10253" max="10253" width="12.84375" style="16" bestFit="1" customWidth="1"/>
    <col min="10254" max="10254" width="18.53515625" style="16" bestFit="1" customWidth="1"/>
    <col min="10255" max="10255" width="17" style="16" bestFit="1" customWidth="1"/>
    <col min="10256" max="10256" width="19.3046875" style="16" bestFit="1" customWidth="1"/>
    <col min="10257" max="10257" width="14.15234375" style="16" bestFit="1" customWidth="1"/>
    <col min="10258" max="10262" width="9.15234375" style="16"/>
    <col min="10263" max="10263" width="11.3046875" style="16" bestFit="1" customWidth="1"/>
    <col min="10264" max="10496" width="9.15234375" style="16"/>
    <col min="10497" max="10497" width="2" style="16" customWidth="1"/>
    <col min="10498" max="10498" width="5.3828125" style="16" customWidth="1"/>
    <col min="10499" max="10499" width="18.15234375" style="16" customWidth="1"/>
    <col min="10500" max="10500" width="54.3828125" style="16" bestFit="1" customWidth="1"/>
    <col min="10501" max="10504" width="17.69140625" style="16" customWidth="1"/>
    <col min="10505" max="10505" width="20.69140625" style="16" bestFit="1" customWidth="1"/>
    <col min="10506" max="10506" width="18.69140625" style="16" customWidth="1"/>
    <col min="10507" max="10507" width="18" style="16" customWidth="1"/>
    <col min="10508" max="10508" width="19.3046875" style="16" customWidth="1"/>
    <col min="10509" max="10509" width="12.84375" style="16" bestFit="1" customWidth="1"/>
    <col min="10510" max="10510" width="18.53515625" style="16" bestFit="1" customWidth="1"/>
    <col min="10511" max="10511" width="17" style="16" bestFit="1" customWidth="1"/>
    <col min="10512" max="10512" width="19.3046875" style="16" bestFit="1" customWidth="1"/>
    <col min="10513" max="10513" width="14.15234375" style="16" bestFit="1" customWidth="1"/>
    <col min="10514" max="10518" width="9.15234375" style="16"/>
    <col min="10519" max="10519" width="11.3046875" style="16" bestFit="1" customWidth="1"/>
    <col min="10520" max="10752" width="9.15234375" style="16"/>
    <col min="10753" max="10753" width="2" style="16" customWidth="1"/>
    <col min="10754" max="10754" width="5.3828125" style="16" customWidth="1"/>
    <col min="10755" max="10755" width="18.15234375" style="16" customWidth="1"/>
    <col min="10756" max="10756" width="54.3828125" style="16" bestFit="1" customWidth="1"/>
    <col min="10757" max="10760" width="17.69140625" style="16" customWidth="1"/>
    <col min="10761" max="10761" width="20.69140625" style="16" bestFit="1" customWidth="1"/>
    <col min="10762" max="10762" width="18.69140625" style="16" customWidth="1"/>
    <col min="10763" max="10763" width="18" style="16" customWidth="1"/>
    <col min="10764" max="10764" width="19.3046875" style="16" customWidth="1"/>
    <col min="10765" max="10765" width="12.84375" style="16" bestFit="1" customWidth="1"/>
    <col min="10766" max="10766" width="18.53515625" style="16" bestFit="1" customWidth="1"/>
    <col min="10767" max="10767" width="17" style="16" bestFit="1" customWidth="1"/>
    <col min="10768" max="10768" width="19.3046875" style="16" bestFit="1" customWidth="1"/>
    <col min="10769" max="10769" width="14.15234375" style="16" bestFit="1" customWidth="1"/>
    <col min="10770" max="10774" width="9.15234375" style="16"/>
    <col min="10775" max="10775" width="11.3046875" style="16" bestFit="1" customWidth="1"/>
    <col min="10776" max="11008" width="9.15234375" style="16"/>
    <col min="11009" max="11009" width="2" style="16" customWidth="1"/>
    <col min="11010" max="11010" width="5.3828125" style="16" customWidth="1"/>
    <col min="11011" max="11011" width="18.15234375" style="16" customWidth="1"/>
    <col min="11012" max="11012" width="54.3828125" style="16" bestFit="1" customWidth="1"/>
    <col min="11013" max="11016" width="17.69140625" style="16" customWidth="1"/>
    <col min="11017" max="11017" width="20.69140625" style="16" bestFit="1" customWidth="1"/>
    <col min="11018" max="11018" width="18.69140625" style="16" customWidth="1"/>
    <col min="11019" max="11019" width="18" style="16" customWidth="1"/>
    <col min="11020" max="11020" width="19.3046875" style="16" customWidth="1"/>
    <col min="11021" max="11021" width="12.84375" style="16" bestFit="1" customWidth="1"/>
    <col min="11022" max="11022" width="18.53515625" style="16" bestFit="1" customWidth="1"/>
    <col min="11023" max="11023" width="17" style="16" bestFit="1" customWidth="1"/>
    <col min="11024" max="11024" width="19.3046875" style="16" bestFit="1" customWidth="1"/>
    <col min="11025" max="11025" width="14.15234375" style="16" bestFit="1" customWidth="1"/>
    <col min="11026" max="11030" width="9.15234375" style="16"/>
    <col min="11031" max="11031" width="11.3046875" style="16" bestFit="1" customWidth="1"/>
    <col min="11032" max="11264" width="9.15234375" style="16"/>
    <col min="11265" max="11265" width="2" style="16" customWidth="1"/>
    <col min="11266" max="11266" width="5.3828125" style="16" customWidth="1"/>
    <col min="11267" max="11267" width="18.15234375" style="16" customWidth="1"/>
    <col min="11268" max="11268" width="54.3828125" style="16" bestFit="1" customWidth="1"/>
    <col min="11269" max="11272" width="17.69140625" style="16" customWidth="1"/>
    <col min="11273" max="11273" width="20.69140625" style="16" bestFit="1" customWidth="1"/>
    <col min="11274" max="11274" width="18.69140625" style="16" customWidth="1"/>
    <col min="11275" max="11275" width="18" style="16" customWidth="1"/>
    <col min="11276" max="11276" width="19.3046875" style="16" customWidth="1"/>
    <col min="11277" max="11277" width="12.84375" style="16" bestFit="1" customWidth="1"/>
    <col min="11278" max="11278" width="18.53515625" style="16" bestFit="1" customWidth="1"/>
    <col min="11279" max="11279" width="17" style="16" bestFit="1" customWidth="1"/>
    <col min="11280" max="11280" width="19.3046875" style="16" bestFit="1" customWidth="1"/>
    <col min="11281" max="11281" width="14.15234375" style="16" bestFit="1" customWidth="1"/>
    <col min="11282" max="11286" width="9.15234375" style="16"/>
    <col min="11287" max="11287" width="11.3046875" style="16" bestFit="1" customWidth="1"/>
    <col min="11288" max="11520" width="9.15234375" style="16"/>
    <col min="11521" max="11521" width="2" style="16" customWidth="1"/>
    <col min="11522" max="11522" width="5.3828125" style="16" customWidth="1"/>
    <col min="11523" max="11523" width="18.15234375" style="16" customWidth="1"/>
    <col min="11524" max="11524" width="54.3828125" style="16" bestFit="1" customWidth="1"/>
    <col min="11525" max="11528" width="17.69140625" style="16" customWidth="1"/>
    <col min="11529" max="11529" width="20.69140625" style="16" bestFit="1" customWidth="1"/>
    <col min="11530" max="11530" width="18.69140625" style="16" customWidth="1"/>
    <col min="11531" max="11531" width="18" style="16" customWidth="1"/>
    <col min="11532" max="11532" width="19.3046875" style="16" customWidth="1"/>
    <col min="11533" max="11533" width="12.84375" style="16" bestFit="1" customWidth="1"/>
    <col min="11534" max="11534" width="18.53515625" style="16" bestFit="1" customWidth="1"/>
    <col min="11535" max="11535" width="17" style="16" bestFit="1" customWidth="1"/>
    <col min="11536" max="11536" width="19.3046875" style="16" bestFit="1" customWidth="1"/>
    <col min="11537" max="11537" width="14.15234375" style="16" bestFit="1" customWidth="1"/>
    <col min="11538" max="11542" width="9.15234375" style="16"/>
    <col min="11543" max="11543" width="11.3046875" style="16" bestFit="1" customWidth="1"/>
    <col min="11544" max="11776" width="9.15234375" style="16"/>
    <col min="11777" max="11777" width="2" style="16" customWidth="1"/>
    <col min="11778" max="11778" width="5.3828125" style="16" customWidth="1"/>
    <col min="11779" max="11779" width="18.15234375" style="16" customWidth="1"/>
    <col min="11780" max="11780" width="54.3828125" style="16" bestFit="1" customWidth="1"/>
    <col min="11781" max="11784" width="17.69140625" style="16" customWidth="1"/>
    <col min="11785" max="11785" width="20.69140625" style="16" bestFit="1" customWidth="1"/>
    <col min="11786" max="11786" width="18.69140625" style="16" customWidth="1"/>
    <col min="11787" max="11787" width="18" style="16" customWidth="1"/>
    <col min="11788" max="11788" width="19.3046875" style="16" customWidth="1"/>
    <col min="11789" max="11789" width="12.84375" style="16" bestFit="1" customWidth="1"/>
    <col min="11790" max="11790" width="18.53515625" style="16" bestFit="1" customWidth="1"/>
    <col min="11791" max="11791" width="17" style="16" bestFit="1" customWidth="1"/>
    <col min="11792" max="11792" width="19.3046875" style="16" bestFit="1" customWidth="1"/>
    <col min="11793" max="11793" width="14.15234375" style="16" bestFit="1" customWidth="1"/>
    <col min="11794" max="11798" width="9.15234375" style="16"/>
    <col min="11799" max="11799" width="11.3046875" style="16" bestFit="1" customWidth="1"/>
    <col min="11800" max="12032" width="9.15234375" style="16"/>
    <col min="12033" max="12033" width="2" style="16" customWidth="1"/>
    <col min="12034" max="12034" width="5.3828125" style="16" customWidth="1"/>
    <col min="12035" max="12035" width="18.15234375" style="16" customWidth="1"/>
    <col min="12036" max="12036" width="54.3828125" style="16" bestFit="1" customWidth="1"/>
    <col min="12037" max="12040" width="17.69140625" style="16" customWidth="1"/>
    <col min="12041" max="12041" width="20.69140625" style="16" bestFit="1" customWidth="1"/>
    <col min="12042" max="12042" width="18.69140625" style="16" customWidth="1"/>
    <col min="12043" max="12043" width="18" style="16" customWidth="1"/>
    <col min="12044" max="12044" width="19.3046875" style="16" customWidth="1"/>
    <col min="12045" max="12045" width="12.84375" style="16" bestFit="1" customWidth="1"/>
    <col min="12046" max="12046" width="18.53515625" style="16" bestFit="1" customWidth="1"/>
    <col min="12047" max="12047" width="17" style="16" bestFit="1" customWidth="1"/>
    <col min="12048" max="12048" width="19.3046875" style="16" bestFit="1" customWidth="1"/>
    <col min="12049" max="12049" width="14.15234375" style="16" bestFit="1" customWidth="1"/>
    <col min="12050" max="12054" width="9.15234375" style="16"/>
    <col min="12055" max="12055" width="11.3046875" style="16" bestFit="1" customWidth="1"/>
    <col min="12056" max="12288" width="9.15234375" style="16"/>
    <col min="12289" max="12289" width="2" style="16" customWidth="1"/>
    <col min="12290" max="12290" width="5.3828125" style="16" customWidth="1"/>
    <col min="12291" max="12291" width="18.15234375" style="16" customWidth="1"/>
    <col min="12292" max="12292" width="54.3828125" style="16" bestFit="1" customWidth="1"/>
    <col min="12293" max="12296" width="17.69140625" style="16" customWidth="1"/>
    <col min="12297" max="12297" width="20.69140625" style="16" bestFit="1" customWidth="1"/>
    <col min="12298" max="12298" width="18.69140625" style="16" customWidth="1"/>
    <col min="12299" max="12299" width="18" style="16" customWidth="1"/>
    <col min="12300" max="12300" width="19.3046875" style="16" customWidth="1"/>
    <col min="12301" max="12301" width="12.84375" style="16" bestFit="1" customWidth="1"/>
    <col min="12302" max="12302" width="18.53515625" style="16" bestFit="1" customWidth="1"/>
    <col min="12303" max="12303" width="17" style="16" bestFit="1" customWidth="1"/>
    <col min="12304" max="12304" width="19.3046875" style="16" bestFit="1" customWidth="1"/>
    <col min="12305" max="12305" width="14.15234375" style="16" bestFit="1" customWidth="1"/>
    <col min="12306" max="12310" width="9.15234375" style="16"/>
    <col min="12311" max="12311" width="11.3046875" style="16" bestFit="1" customWidth="1"/>
    <col min="12312" max="12544" width="9.15234375" style="16"/>
    <col min="12545" max="12545" width="2" style="16" customWidth="1"/>
    <col min="12546" max="12546" width="5.3828125" style="16" customWidth="1"/>
    <col min="12547" max="12547" width="18.15234375" style="16" customWidth="1"/>
    <col min="12548" max="12548" width="54.3828125" style="16" bestFit="1" customWidth="1"/>
    <col min="12549" max="12552" width="17.69140625" style="16" customWidth="1"/>
    <col min="12553" max="12553" width="20.69140625" style="16" bestFit="1" customWidth="1"/>
    <col min="12554" max="12554" width="18.69140625" style="16" customWidth="1"/>
    <col min="12555" max="12555" width="18" style="16" customWidth="1"/>
    <col min="12556" max="12556" width="19.3046875" style="16" customWidth="1"/>
    <col min="12557" max="12557" width="12.84375" style="16" bestFit="1" customWidth="1"/>
    <col min="12558" max="12558" width="18.53515625" style="16" bestFit="1" customWidth="1"/>
    <col min="12559" max="12559" width="17" style="16" bestFit="1" customWidth="1"/>
    <col min="12560" max="12560" width="19.3046875" style="16" bestFit="1" customWidth="1"/>
    <col min="12561" max="12561" width="14.15234375" style="16" bestFit="1" customWidth="1"/>
    <col min="12562" max="12566" width="9.15234375" style="16"/>
    <col min="12567" max="12567" width="11.3046875" style="16" bestFit="1" customWidth="1"/>
    <col min="12568" max="12800" width="9.15234375" style="16"/>
    <col min="12801" max="12801" width="2" style="16" customWidth="1"/>
    <col min="12802" max="12802" width="5.3828125" style="16" customWidth="1"/>
    <col min="12803" max="12803" width="18.15234375" style="16" customWidth="1"/>
    <col min="12804" max="12804" width="54.3828125" style="16" bestFit="1" customWidth="1"/>
    <col min="12805" max="12808" width="17.69140625" style="16" customWidth="1"/>
    <col min="12809" max="12809" width="20.69140625" style="16" bestFit="1" customWidth="1"/>
    <col min="12810" max="12810" width="18.69140625" style="16" customWidth="1"/>
    <col min="12811" max="12811" width="18" style="16" customWidth="1"/>
    <col min="12812" max="12812" width="19.3046875" style="16" customWidth="1"/>
    <col min="12813" max="12813" width="12.84375" style="16" bestFit="1" customWidth="1"/>
    <col min="12814" max="12814" width="18.53515625" style="16" bestFit="1" customWidth="1"/>
    <col min="12815" max="12815" width="17" style="16" bestFit="1" customWidth="1"/>
    <col min="12816" max="12816" width="19.3046875" style="16" bestFit="1" customWidth="1"/>
    <col min="12817" max="12817" width="14.15234375" style="16" bestFit="1" customWidth="1"/>
    <col min="12818" max="12822" width="9.15234375" style="16"/>
    <col min="12823" max="12823" width="11.3046875" style="16" bestFit="1" customWidth="1"/>
    <col min="12824" max="13056" width="9.15234375" style="16"/>
    <col min="13057" max="13057" width="2" style="16" customWidth="1"/>
    <col min="13058" max="13058" width="5.3828125" style="16" customWidth="1"/>
    <col min="13059" max="13059" width="18.15234375" style="16" customWidth="1"/>
    <col min="13060" max="13060" width="54.3828125" style="16" bestFit="1" customWidth="1"/>
    <col min="13061" max="13064" width="17.69140625" style="16" customWidth="1"/>
    <col min="13065" max="13065" width="20.69140625" style="16" bestFit="1" customWidth="1"/>
    <col min="13066" max="13066" width="18.69140625" style="16" customWidth="1"/>
    <col min="13067" max="13067" width="18" style="16" customWidth="1"/>
    <col min="13068" max="13068" width="19.3046875" style="16" customWidth="1"/>
    <col min="13069" max="13069" width="12.84375" style="16" bestFit="1" customWidth="1"/>
    <col min="13070" max="13070" width="18.53515625" style="16" bestFit="1" customWidth="1"/>
    <col min="13071" max="13071" width="17" style="16" bestFit="1" customWidth="1"/>
    <col min="13072" max="13072" width="19.3046875" style="16" bestFit="1" customWidth="1"/>
    <col min="13073" max="13073" width="14.15234375" style="16" bestFit="1" customWidth="1"/>
    <col min="13074" max="13078" width="9.15234375" style="16"/>
    <col min="13079" max="13079" width="11.3046875" style="16" bestFit="1" customWidth="1"/>
    <col min="13080" max="13312" width="9.15234375" style="16"/>
    <col min="13313" max="13313" width="2" style="16" customWidth="1"/>
    <col min="13314" max="13314" width="5.3828125" style="16" customWidth="1"/>
    <col min="13315" max="13315" width="18.15234375" style="16" customWidth="1"/>
    <col min="13316" max="13316" width="54.3828125" style="16" bestFit="1" customWidth="1"/>
    <col min="13317" max="13320" width="17.69140625" style="16" customWidth="1"/>
    <col min="13321" max="13321" width="20.69140625" style="16" bestFit="1" customWidth="1"/>
    <col min="13322" max="13322" width="18.69140625" style="16" customWidth="1"/>
    <col min="13323" max="13323" width="18" style="16" customWidth="1"/>
    <col min="13324" max="13324" width="19.3046875" style="16" customWidth="1"/>
    <col min="13325" max="13325" width="12.84375" style="16" bestFit="1" customWidth="1"/>
    <col min="13326" max="13326" width="18.53515625" style="16" bestFit="1" customWidth="1"/>
    <col min="13327" max="13327" width="17" style="16" bestFit="1" customWidth="1"/>
    <col min="13328" max="13328" width="19.3046875" style="16" bestFit="1" customWidth="1"/>
    <col min="13329" max="13329" width="14.15234375" style="16" bestFit="1" customWidth="1"/>
    <col min="13330" max="13334" width="9.15234375" style="16"/>
    <col min="13335" max="13335" width="11.3046875" style="16" bestFit="1" customWidth="1"/>
    <col min="13336" max="13568" width="9.15234375" style="16"/>
    <col min="13569" max="13569" width="2" style="16" customWidth="1"/>
    <col min="13570" max="13570" width="5.3828125" style="16" customWidth="1"/>
    <col min="13571" max="13571" width="18.15234375" style="16" customWidth="1"/>
    <col min="13572" max="13572" width="54.3828125" style="16" bestFit="1" customWidth="1"/>
    <col min="13573" max="13576" width="17.69140625" style="16" customWidth="1"/>
    <col min="13577" max="13577" width="20.69140625" style="16" bestFit="1" customWidth="1"/>
    <col min="13578" max="13578" width="18.69140625" style="16" customWidth="1"/>
    <col min="13579" max="13579" width="18" style="16" customWidth="1"/>
    <col min="13580" max="13580" width="19.3046875" style="16" customWidth="1"/>
    <col min="13581" max="13581" width="12.84375" style="16" bestFit="1" customWidth="1"/>
    <col min="13582" max="13582" width="18.53515625" style="16" bestFit="1" customWidth="1"/>
    <col min="13583" max="13583" width="17" style="16" bestFit="1" customWidth="1"/>
    <col min="13584" max="13584" width="19.3046875" style="16" bestFit="1" customWidth="1"/>
    <col min="13585" max="13585" width="14.15234375" style="16" bestFit="1" customWidth="1"/>
    <col min="13586" max="13590" width="9.15234375" style="16"/>
    <col min="13591" max="13591" width="11.3046875" style="16" bestFit="1" customWidth="1"/>
    <col min="13592" max="13824" width="9.15234375" style="16"/>
    <col min="13825" max="13825" width="2" style="16" customWidth="1"/>
    <col min="13826" max="13826" width="5.3828125" style="16" customWidth="1"/>
    <col min="13827" max="13827" width="18.15234375" style="16" customWidth="1"/>
    <col min="13828" max="13828" width="54.3828125" style="16" bestFit="1" customWidth="1"/>
    <col min="13829" max="13832" width="17.69140625" style="16" customWidth="1"/>
    <col min="13833" max="13833" width="20.69140625" style="16" bestFit="1" customWidth="1"/>
    <col min="13834" max="13834" width="18.69140625" style="16" customWidth="1"/>
    <col min="13835" max="13835" width="18" style="16" customWidth="1"/>
    <col min="13836" max="13836" width="19.3046875" style="16" customWidth="1"/>
    <col min="13837" max="13837" width="12.84375" style="16" bestFit="1" customWidth="1"/>
    <col min="13838" max="13838" width="18.53515625" style="16" bestFit="1" customWidth="1"/>
    <col min="13839" max="13839" width="17" style="16" bestFit="1" customWidth="1"/>
    <col min="13840" max="13840" width="19.3046875" style="16" bestFit="1" customWidth="1"/>
    <col min="13841" max="13841" width="14.15234375" style="16" bestFit="1" customWidth="1"/>
    <col min="13842" max="13846" width="9.15234375" style="16"/>
    <col min="13847" max="13847" width="11.3046875" style="16" bestFit="1" customWidth="1"/>
    <col min="13848" max="14080" width="9.15234375" style="16"/>
    <col min="14081" max="14081" width="2" style="16" customWidth="1"/>
    <col min="14082" max="14082" width="5.3828125" style="16" customWidth="1"/>
    <col min="14083" max="14083" width="18.15234375" style="16" customWidth="1"/>
    <col min="14084" max="14084" width="54.3828125" style="16" bestFit="1" customWidth="1"/>
    <col min="14085" max="14088" width="17.69140625" style="16" customWidth="1"/>
    <col min="14089" max="14089" width="20.69140625" style="16" bestFit="1" customWidth="1"/>
    <col min="14090" max="14090" width="18.69140625" style="16" customWidth="1"/>
    <col min="14091" max="14091" width="18" style="16" customWidth="1"/>
    <col min="14092" max="14092" width="19.3046875" style="16" customWidth="1"/>
    <col min="14093" max="14093" width="12.84375" style="16" bestFit="1" customWidth="1"/>
    <col min="14094" max="14094" width="18.53515625" style="16" bestFit="1" customWidth="1"/>
    <col min="14095" max="14095" width="17" style="16" bestFit="1" customWidth="1"/>
    <col min="14096" max="14096" width="19.3046875" style="16" bestFit="1" customWidth="1"/>
    <col min="14097" max="14097" width="14.15234375" style="16" bestFit="1" customWidth="1"/>
    <col min="14098" max="14102" width="9.15234375" style="16"/>
    <col min="14103" max="14103" width="11.3046875" style="16" bestFit="1" customWidth="1"/>
    <col min="14104" max="14336" width="9.15234375" style="16"/>
    <col min="14337" max="14337" width="2" style="16" customWidth="1"/>
    <col min="14338" max="14338" width="5.3828125" style="16" customWidth="1"/>
    <col min="14339" max="14339" width="18.15234375" style="16" customWidth="1"/>
    <col min="14340" max="14340" width="54.3828125" style="16" bestFit="1" customWidth="1"/>
    <col min="14341" max="14344" width="17.69140625" style="16" customWidth="1"/>
    <col min="14345" max="14345" width="20.69140625" style="16" bestFit="1" customWidth="1"/>
    <col min="14346" max="14346" width="18.69140625" style="16" customWidth="1"/>
    <col min="14347" max="14347" width="18" style="16" customWidth="1"/>
    <col min="14348" max="14348" width="19.3046875" style="16" customWidth="1"/>
    <col min="14349" max="14349" width="12.84375" style="16" bestFit="1" customWidth="1"/>
    <col min="14350" max="14350" width="18.53515625" style="16" bestFit="1" customWidth="1"/>
    <col min="14351" max="14351" width="17" style="16" bestFit="1" customWidth="1"/>
    <col min="14352" max="14352" width="19.3046875" style="16" bestFit="1" customWidth="1"/>
    <col min="14353" max="14353" width="14.15234375" style="16" bestFit="1" customWidth="1"/>
    <col min="14354" max="14358" width="9.15234375" style="16"/>
    <col min="14359" max="14359" width="11.3046875" style="16" bestFit="1" customWidth="1"/>
    <col min="14360" max="14592" width="9.15234375" style="16"/>
    <col min="14593" max="14593" width="2" style="16" customWidth="1"/>
    <col min="14594" max="14594" width="5.3828125" style="16" customWidth="1"/>
    <col min="14595" max="14595" width="18.15234375" style="16" customWidth="1"/>
    <col min="14596" max="14596" width="54.3828125" style="16" bestFit="1" customWidth="1"/>
    <col min="14597" max="14600" width="17.69140625" style="16" customWidth="1"/>
    <col min="14601" max="14601" width="20.69140625" style="16" bestFit="1" customWidth="1"/>
    <col min="14602" max="14602" width="18.69140625" style="16" customWidth="1"/>
    <col min="14603" max="14603" width="18" style="16" customWidth="1"/>
    <col min="14604" max="14604" width="19.3046875" style="16" customWidth="1"/>
    <col min="14605" max="14605" width="12.84375" style="16" bestFit="1" customWidth="1"/>
    <col min="14606" max="14606" width="18.53515625" style="16" bestFit="1" customWidth="1"/>
    <col min="14607" max="14607" width="17" style="16" bestFit="1" customWidth="1"/>
    <col min="14608" max="14608" width="19.3046875" style="16" bestFit="1" customWidth="1"/>
    <col min="14609" max="14609" width="14.15234375" style="16" bestFit="1" customWidth="1"/>
    <col min="14610" max="14614" width="9.15234375" style="16"/>
    <col min="14615" max="14615" width="11.3046875" style="16" bestFit="1" customWidth="1"/>
    <col min="14616" max="14848" width="9.15234375" style="16"/>
    <col min="14849" max="14849" width="2" style="16" customWidth="1"/>
    <col min="14850" max="14850" width="5.3828125" style="16" customWidth="1"/>
    <col min="14851" max="14851" width="18.15234375" style="16" customWidth="1"/>
    <col min="14852" max="14852" width="54.3828125" style="16" bestFit="1" customWidth="1"/>
    <col min="14853" max="14856" width="17.69140625" style="16" customWidth="1"/>
    <col min="14857" max="14857" width="20.69140625" style="16" bestFit="1" customWidth="1"/>
    <col min="14858" max="14858" width="18.69140625" style="16" customWidth="1"/>
    <col min="14859" max="14859" width="18" style="16" customWidth="1"/>
    <col min="14860" max="14860" width="19.3046875" style="16" customWidth="1"/>
    <col min="14861" max="14861" width="12.84375" style="16" bestFit="1" customWidth="1"/>
    <col min="14862" max="14862" width="18.53515625" style="16" bestFit="1" customWidth="1"/>
    <col min="14863" max="14863" width="17" style="16" bestFit="1" customWidth="1"/>
    <col min="14864" max="14864" width="19.3046875" style="16" bestFit="1" customWidth="1"/>
    <col min="14865" max="14865" width="14.15234375" style="16" bestFit="1" customWidth="1"/>
    <col min="14866" max="14870" width="9.15234375" style="16"/>
    <col min="14871" max="14871" width="11.3046875" style="16" bestFit="1" customWidth="1"/>
    <col min="14872" max="15104" width="9.15234375" style="16"/>
    <col min="15105" max="15105" width="2" style="16" customWidth="1"/>
    <col min="15106" max="15106" width="5.3828125" style="16" customWidth="1"/>
    <col min="15107" max="15107" width="18.15234375" style="16" customWidth="1"/>
    <col min="15108" max="15108" width="54.3828125" style="16" bestFit="1" customWidth="1"/>
    <col min="15109" max="15112" width="17.69140625" style="16" customWidth="1"/>
    <col min="15113" max="15113" width="20.69140625" style="16" bestFit="1" customWidth="1"/>
    <col min="15114" max="15114" width="18.69140625" style="16" customWidth="1"/>
    <col min="15115" max="15115" width="18" style="16" customWidth="1"/>
    <col min="15116" max="15116" width="19.3046875" style="16" customWidth="1"/>
    <col min="15117" max="15117" width="12.84375" style="16" bestFit="1" customWidth="1"/>
    <col min="15118" max="15118" width="18.53515625" style="16" bestFit="1" customWidth="1"/>
    <col min="15119" max="15119" width="17" style="16" bestFit="1" customWidth="1"/>
    <col min="15120" max="15120" width="19.3046875" style="16" bestFit="1" customWidth="1"/>
    <col min="15121" max="15121" width="14.15234375" style="16" bestFit="1" customWidth="1"/>
    <col min="15122" max="15126" width="9.15234375" style="16"/>
    <col min="15127" max="15127" width="11.3046875" style="16" bestFit="1" customWidth="1"/>
    <col min="15128" max="15360" width="9.15234375" style="16"/>
    <col min="15361" max="15361" width="2" style="16" customWidth="1"/>
    <col min="15362" max="15362" width="5.3828125" style="16" customWidth="1"/>
    <col min="15363" max="15363" width="18.15234375" style="16" customWidth="1"/>
    <col min="15364" max="15364" width="54.3828125" style="16" bestFit="1" customWidth="1"/>
    <col min="15365" max="15368" width="17.69140625" style="16" customWidth="1"/>
    <col min="15369" max="15369" width="20.69140625" style="16" bestFit="1" customWidth="1"/>
    <col min="15370" max="15370" width="18.69140625" style="16" customWidth="1"/>
    <col min="15371" max="15371" width="18" style="16" customWidth="1"/>
    <col min="15372" max="15372" width="19.3046875" style="16" customWidth="1"/>
    <col min="15373" max="15373" width="12.84375" style="16" bestFit="1" customWidth="1"/>
    <col min="15374" max="15374" width="18.53515625" style="16" bestFit="1" customWidth="1"/>
    <col min="15375" max="15375" width="17" style="16" bestFit="1" customWidth="1"/>
    <col min="15376" max="15376" width="19.3046875" style="16" bestFit="1" customWidth="1"/>
    <col min="15377" max="15377" width="14.15234375" style="16" bestFit="1" customWidth="1"/>
    <col min="15378" max="15382" width="9.15234375" style="16"/>
    <col min="15383" max="15383" width="11.3046875" style="16" bestFit="1" customWidth="1"/>
    <col min="15384" max="15616" width="9.15234375" style="16"/>
    <col min="15617" max="15617" width="2" style="16" customWidth="1"/>
    <col min="15618" max="15618" width="5.3828125" style="16" customWidth="1"/>
    <col min="15619" max="15619" width="18.15234375" style="16" customWidth="1"/>
    <col min="15620" max="15620" width="54.3828125" style="16" bestFit="1" customWidth="1"/>
    <col min="15621" max="15624" width="17.69140625" style="16" customWidth="1"/>
    <col min="15625" max="15625" width="20.69140625" style="16" bestFit="1" customWidth="1"/>
    <col min="15626" max="15626" width="18.69140625" style="16" customWidth="1"/>
    <col min="15627" max="15627" width="18" style="16" customWidth="1"/>
    <col min="15628" max="15628" width="19.3046875" style="16" customWidth="1"/>
    <col min="15629" max="15629" width="12.84375" style="16" bestFit="1" customWidth="1"/>
    <col min="15630" max="15630" width="18.53515625" style="16" bestFit="1" customWidth="1"/>
    <col min="15631" max="15631" width="17" style="16" bestFit="1" customWidth="1"/>
    <col min="15632" max="15632" width="19.3046875" style="16" bestFit="1" customWidth="1"/>
    <col min="15633" max="15633" width="14.15234375" style="16" bestFit="1" customWidth="1"/>
    <col min="15634" max="15638" width="9.15234375" style="16"/>
    <col min="15639" max="15639" width="11.3046875" style="16" bestFit="1" customWidth="1"/>
    <col min="15640" max="15872" width="9.15234375" style="16"/>
    <col min="15873" max="15873" width="2" style="16" customWidth="1"/>
    <col min="15874" max="15874" width="5.3828125" style="16" customWidth="1"/>
    <col min="15875" max="15875" width="18.15234375" style="16" customWidth="1"/>
    <col min="15876" max="15876" width="54.3828125" style="16" bestFit="1" customWidth="1"/>
    <col min="15877" max="15880" width="17.69140625" style="16" customWidth="1"/>
    <col min="15881" max="15881" width="20.69140625" style="16" bestFit="1" customWidth="1"/>
    <col min="15882" max="15882" width="18.69140625" style="16" customWidth="1"/>
    <col min="15883" max="15883" width="18" style="16" customWidth="1"/>
    <col min="15884" max="15884" width="19.3046875" style="16" customWidth="1"/>
    <col min="15885" max="15885" width="12.84375" style="16" bestFit="1" customWidth="1"/>
    <col min="15886" max="15886" width="18.53515625" style="16" bestFit="1" customWidth="1"/>
    <col min="15887" max="15887" width="17" style="16" bestFit="1" customWidth="1"/>
    <col min="15888" max="15888" width="19.3046875" style="16" bestFit="1" customWidth="1"/>
    <col min="15889" max="15889" width="14.15234375" style="16" bestFit="1" customWidth="1"/>
    <col min="15890" max="15894" width="9.15234375" style="16"/>
    <col min="15895" max="15895" width="11.3046875" style="16" bestFit="1" customWidth="1"/>
    <col min="15896" max="16128" width="9.15234375" style="16"/>
    <col min="16129" max="16129" width="2" style="16" customWidth="1"/>
    <col min="16130" max="16130" width="5.3828125" style="16" customWidth="1"/>
    <col min="16131" max="16131" width="18.15234375" style="16" customWidth="1"/>
    <col min="16132" max="16132" width="54.3828125" style="16" bestFit="1" customWidth="1"/>
    <col min="16133" max="16136" width="17.69140625" style="16" customWidth="1"/>
    <col min="16137" max="16137" width="20.69140625" style="16" bestFit="1" customWidth="1"/>
    <col min="16138" max="16138" width="18.69140625" style="16" customWidth="1"/>
    <col min="16139" max="16139" width="18" style="16" customWidth="1"/>
    <col min="16140" max="16140" width="19.3046875" style="16" customWidth="1"/>
    <col min="16141" max="16141" width="12.84375" style="16" bestFit="1" customWidth="1"/>
    <col min="16142" max="16142" width="18.53515625" style="16" bestFit="1" customWidth="1"/>
    <col min="16143" max="16143" width="17" style="16" bestFit="1" customWidth="1"/>
    <col min="16144" max="16144" width="19.3046875" style="16" bestFit="1" customWidth="1"/>
    <col min="16145" max="16145" width="14.15234375" style="16" bestFit="1" customWidth="1"/>
    <col min="16146" max="16150" width="9.15234375" style="16"/>
    <col min="16151" max="16151" width="11.3046875" style="16" bestFit="1" customWidth="1"/>
    <col min="16152" max="16384" width="9.15234375" style="16"/>
  </cols>
  <sheetData>
    <row r="1" spans="1:23" ht="53.25" customHeight="1" thickBot="1" x14ac:dyDescent="0.5">
      <c r="B1" s="186" t="s">
        <v>160</v>
      </c>
      <c r="C1" s="187"/>
      <c r="D1" s="187"/>
      <c r="E1" s="187"/>
      <c r="F1" s="187"/>
      <c r="G1" s="187"/>
      <c r="H1" s="187"/>
      <c r="I1" s="187"/>
      <c r="J1" s="187"/>
      <c r="K1" s="187"/>
      <c r="L1" s="188"/>
      <c r="M1" s="189"/>
    </row>
    <row r="2" spans="1:23" s="21" customFormat="1" ht="53.25" customHeight="1" thickBot="1" x14ac:dyDescent="0.45">
      <c r="A2" s="17"/>
      <c r="B2" s="191" t="s">
        <v>161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2"/>
      <c r="N2" s="193"/>
      <c r="O2" s="20"/>
      <c r="P2" s="20"/>
    </row>
    <row r="3" spans="1:23" s="38" customFormat="1" ht="53.25" customHeight="1" thickTop="1" x14ac:dyDescent="0.4">
      <c r="A3" s="22"/>
      <c r="B3" s="194" t="s">
        <v>193</v>
      </c>
      <c r="C3" s="195"/>
      <c r="D3" s="195"/>
      <c r="E3" s="196"/>
      <c r="F3" s="197" t="s">
        <v>194</v>
      </c>
      <c r="G3" s="198"/>
      <c r="H3" s="199" t="s">
        <v>195</v>
      </c>
      <c r="I3" s="200"/>
      <c r="J3" s="201" t="s">
        <v>196</v>
      </c>
      <c r="K3" s="202"/>
      <c r="L3" s="203"/>
      <c r="M3" s="204"/>
      <c r="N3" s="205"/>
      <c r="O3" s="37"/>
      <c r="P3" s="37"/>
    </row>
    <row r="4" spans="1:23" s="38" customFormat="1" ht="53.25" customHeight="1" x14ac:dyDescent="0.35">
      <c r="A4" s="22"/>
      <c r="B4" s="206" t="s">
        <v>197</v>
      </c>
      <c r="C4" s="207"/>
      <c r="D4" s="208" t="s">
        <v>198</v>
      </c>
      <c r="E4" s="209"/>
      <c r="F4" s="210" t="s">
        <v>199</v>
      </c>
      <c r="G4" s="211"/>
      <c r="H4" s="211"/>
      <c r="I4" s="212" t="s">
        <v>200</v>
      </c>
      <c r="J4" s="213" t="s">
        <v>171</v>
      </c>
      <c r="K4" s="214"/>
      <c r="L4" s="215"/>
      <c r="M4" s="216"/>
      <c r="N4" s="205"/>
      <c r="O4" s="37"/>
      <c r="P4" s="37"/>
    </row>
    <row r="5" spans="1:23" s="38" customFormat="1" ht="53.25" customHeight="1" x14ac:dyDescent="0.4">
      <c r="A5" s="22"/>
      <c r="B5" s="217" t="s">
        <v>172</v>
      </c>
      <c r="C5" s="218"/>
      <c r="D5" s="219"/>
      <c r="E5" s="220" t="s">
        <v>201</v>
      </c>
      <c r="F5" s="210" t="s">
        <v>202</v>
      </c>
      <c r="G5" s="221"/>
      <c r="H5" s="222" t="s">
        <v>203</v>
      </c>
      <c r="I5" s="223"/>
      <c r="J5" s="224"/>
      <c r="K5" s="225"/>
      <c r="L5" s="226"/>
      <c r="M5" s="216"/>
      <c r="N5" s="205"/>
      <c r="O5" s="37"/>
      <c r="P5" s="37"/>
    </row>
    <row r="6" spans="1:23" s="232" customFormat="1" ht="53.25" customHeight="1" x14ac:dyDescent="0.4">
      <c r="A6" s="227"/>
      <c r="B6" s="228" t="s">
        <v>204</v>
      </c>
      <c r="C6" s="229"/>
      <c r="D6" s="229"/>
      <c r="E6" s="229"/>
      <c r="F6" s="229"/>
      <c r="G6" s="229"/>
      <c r="H6" s="229"/>
      <c r="I6" s="229"/>
      <c r="J6" s="230"/>
      <c r="K6" s="229"/>
      <c r="L6" s="231"/>
      <c r="M6" s="192"/>
      <c r="N6" s="205"/>
      <c r="O6" s="205"/>
      <c r="P6" s="205"/>
    </row>
    <row r="7" spans="1:23" s="233" customFormat="1" ht="53.25" customHeight="1" x14ac:dyDescent="0.4">
      <c r="B7" s="234" t="s">
        <v>205</v>
      </c>
      <c r="C7" s="235" t="s">
        <v>206</v>
      </c>
      <c r="D7" s="236" t="s">
        <v>207</v>
      </c>
      <c r="E7" s="237" t="s">
        <v>208</v>
      </c>
      <c r="F7" s="238" t="s">
        <v>209</v>
      </c>
      <c r="G7" s="239" t="s">
        <v>210</v>
      </c>
      <c r="H7" s="237" t="s">
        <v>211</v>
      </c>
      <c r="I7" s="240" t="s">
        <v>212</v>
      </c>
      <c r="J7" s="241" t="s">
        <v>213</v>
      </c>
      <c r="K7" s="242" t="s">
        <v>214</v>
      </c>
      <c r="L7" s="243" t="s">
        <v>40</v>
      </c>
      <c r="M7" s="244"/>
      <c r="N7" s="192"/>
      <c r="O7" s="245"/>
      <c r="P7" s="245"/>
    </row>
    <row r="8" spans="1:23" s="261" customFormat="1" ht="53.25" customHeight="1" x14ac:dyDescent="0.5">
      <c r="A8" s="246"/>
      <c r="B8" s="247">
        <v>1</v>
      </c>
      <c r="C8" s="248"/>
      <c r="D8" s="249"/>
      <c r="E8" s="250"/>
      <c r="F8" s="251"/>
      <c r="G8" s="252"/>
      <c r="H8" s="253"/>
      <c r="I8" s="254"/>
      <c r="J8" s="255">
        <f>I8*0.03</f>
        <v>0</v>
      </c>
      <c r="K8" s="256"/>
      <c r="L8" s="257"/>
      <c r="M8" s="258"/>
      <c r="N8" s="259"/>
      <c r="O8" s="260"/>
      <c r="P8" s="260"/>
    </row>
    <row r="9" spans="1:23" s="261" customFormat="1" ht="53.25" customHeight="1" x14ac:dyDescent="0.5">
      <c r="A9" s="246"/>
      <c r="B9" s="247">
        <v>2</v>
      </c>
      <c r="C9" s="248"/>
      <c r="D9" s="249"/>
      <c r="E9" s="250"/>
      <c r="F9" s="251"/>
      <c r="G9" s="252"/>
      <c r="H9" s="253"/>
      <c r="I9" s="254"/>
      <c r="J9" s="262">
        <f>I9*0.3</f>
        <v>0</v>
      </c>
      <c r="K9" s="256"/>
      <c r="L9" s="257"/>
      <c r="M9" s="258"/>
      <c r="N9" s="259"/>
      <c r="O9" s="260"/>
      <c r="P9" s="260"/>
    </row>
    <row r="10" spans="1:23" s="261" customFormat="1" ht="53.25" customHeight="1" x14ac:dyDescent="0.5">
      <c r="A10" s="246"/>
      <c r="B10" s="247">
        <v>3</v>
      </c>
      <c r="C10" s="248"/>
      <c r="D10" s="249"/>
      <c r="E10" s="263"/>
      <c r="F10" s="264"/>
      <c r="G10" s="248"/>
      <c r="H10" s="265"/>
      <c r="I10" s="254"/>
      <c r="J10" s="255">
        <f>I10*0.3</f>
        <v>0</v>
      </c>
      <c r="K10" s="256"/>
      <c r="L10" s="257"/>
      <c r="M10" s="258"/>
      <c r="N10" s="259"/>
      <c r="O10" s="260"/>
      <c r="P10" s="260"/>
    </row>
    <row r="11" spans="1:23" s="261" customFormat="1" ht="53.25" customHeight="1" x14ac:dyDescent="0.5">
      <c r="A11" s="246"/>
      <c r="B11" s="247">
        <v>4</v>
      </c>
      <c r="C11" s="248"/>
      <c r="D11" s="266"/>
      <c r="E11" s="250"/>
      <c r="F11" s="251"/>
      <c r="G11" s="252"/>
      <c r="H11" s="253"/>
      <c r="I11" s="254"/>
      <c r="J11" s="255">
        <f>I11*0.03</f>
        <v>0</v>
      </c>
      <c r="K11" s="256"/>
      <c r="L11" s="257"/>
      <c r="M11" s="258"/>
      <c r="N11" s="259"/>
      <c r="O11" s="260"/>
      <c r="P11" s="260"/>
    </row>
    <row r="12" spans="1:23" s="261" customFormat="1" ht="53.25" customHeight="1" x14ac:dyDescent="0.5">
      <c r="A12" s="246"/>
      <c r="B12" s="247">
        <v>5</v>
      </c>
      <c r="C12" s="248"/>
      <c r="D12" s="266"/>
      <c r="E12" s="250"/>
      <c r="F12" s="251"/>
      <c r="G12" s="252"/>
      <c r="H12" s="253"/>
      <c r="I12" s="254"/>
      <c r="J12" s="262">
        <f>I12*0.03</f>
        <v>0</v>
      </c>
      <c r="K12" s="256"/>
      <c r="L12" s="257"/>
      <c r="M12" s="258"/>
      <c r="N12" s="259"/>
      <c r="O12" s="260"/>
      <c r="P12" s="260"/>
      <c r="Q12" s="260"/>
      <c r="T12" s="258">
        <v>3458</v>
      </c>
    </row>
    <row r="13" spans="1:23" s="261" customFormat="1" ht="53.25" customHeight="1" x14ac:dyDescent="0.5">
      <c r="A13" s="246"/>
      <c r="B13" s="247">
        <v>6</v>
      </c>
      <c r="C13" s="248"/>
      <c r="D13" s="249"/>
      <c r="E13" s="250"/>
      <c r="F13" s="251"/>
      <c r="G13" s="252"/>
      <c r="H13" s="253"/>
      <c r="I13" s="254"/>
      <c r="J13" s="262">
        <f>I13*0.3</f>
        <v>0</v>
      </c>
      <c r="K13" s="256"/>
      <c r="L13" s="257"/>
      <c r="M13" s="258"/>
      <c r="N13" s="259"/>
      <c r="O13" s="260"/>
      <c r="P13" s="260"/>
      <c r="Q13" s="267" t="e">
        <f>J13+J14+J15+J16+J17+#REF!+#REF!+#REF!+#REF!+#REF!+#REF!+#REF!+#REF!+#REF!+#REF!+#REF!+#REF!+#REF!+#REF!</f>
        <v>#REF!</v>
      </c>
      <c r="T13" s="258">
        <v>3459</v>
      </c>
      <c r="W13" s="267"/>
    </row>
    <row r="14" spans="1:23" s="261" customFormat="1" ht="53.25" customHeight="1" x14ac:dyDescent="0.5">
      <c r="A14" s="246"/>
      <c r="B14" s="247">
        <v>7</v>
      </c>
      <c r="C14" s="248"/>
      <c r="D14" s="249"/>
      <c r="E14" s="250"/>
      <c r="F14" s="251"/>
      <c r="G14" s="252"/>
      <c r="H14" s="253"/>
      <c r="I14" s="254"/>
      <c r="J14" s="262">
        <f>I14*0.3</f>
        <v>0</v>
      </c>
      <c r="K14" s="256"/>
      <c r="L14" s="257"/>
      <c r="M14" s="258"/>
      <c r="N14" s="259"/>
      <c r="O14" s="260"/>
      <c r="P14" s="260"/>
      <c r="Q14" s="267" t="e">
        <f>#REF!</f>
        <v>#REF!</v>
      </c>
      <c r="T14" s="258">
        <v>3460</v>
      </c>
      <c r="W14" s="267"/>
    </row>
    <row r="15" spans="1:23" s="261" customFormat="1" ht="53.25" customHeight="1" x14ac:dyDescent="0.5">
      <c r="A15" s="246"/>
      <c r="B15" s="247">
        <v>8</v>
      </c>
      <c r="C15" s="248"/>
      <c r="D15" s="249"/>
      <c r="E15" s="250"/>
      <c r="F15" s="251"/>
      <c r="G15" s="252"/>
      <c r="H15" s="253"/>
      <c r="I15" s="254"/>
      <c r="J15" s="262">
        <f>I15*0.3</f>
        <v>0</v>
      </c>
      <c r="K15" s="256"/>
      <c r="L15" s="257"/>
      <c r="M15" s="258"/>
      <c r="N15" s="259"/>
      <c r="O15" s="260"/>
      <c r="P15" s="260"/>
      <c r="Q15" s="267" t="e">
        <f>#REF!</f>
        <v>#REF!</v>
      </c>
      <c r="T15" s="258">
        <v>3498</v>
      </c>
      <c r="W15" s="267"/>
    </row>
    <row r="16" spans="1:23" s="261" customFormat="1" ht="53.25" customHeight="1" x14ac:dyDescent="0.5">
      <c r="A16" s="246"/>
      <c r="B16" s="247">
        <v>9</v>
      </c>
      <c r="C16" s="248"/>
      <c r="D16" s="249"/>
      <c r="E16" s="263"/>
      <c r="F16" s="264"/>
      <c r="G16" s="248"/>
      <c r="H16" s="265"/>
      <c r="I16" s="254"/>
      <c r="J16" s="255">
        <f>I16*0.3</f>
        <v>0</v>
      </c>
      <c r="K16" s="256"/>
      <c r="L16" s="257"/>
      <c r="M16" s="258"/>
      <c r="N16" s="259"/>
      <c r="O16" s="260"/>
      <c r="P16" s="260"/>
      <c r="Q16" s="267"/>
      <c r="T16" s="258">
        <v>3498</v>
      </c>
    </row>
    <row r="17" spans="1:20" s="261" customFormat="1" ht="53.25" customHeight="1" x14ac:dyDescent="0.5">
      <c r="A17" s="246"/>
      <c r="B17" s="247">
        <v>10</v>
      </c>
      <c r="C17" s="248"/>
      <c r="D17" s="249"/>
      <c r="E17" s="250"/>
      <c r="F17" s="251"/>
      <c r="G17" s="252"/>
      <c r="H17" s="253"/>
      <c r="I17" s="254"/>
      <c r="J17" s="255">
        <f>I17*0.3</f>
        <v>0</v>
      </c>
      <c r="K17" s="256"/>
      <c r="L17" s="257"/>
      <c r="M17" s="258"/>
      <c r="N17" s="259"/>
      <c r="O17" s="260"/>
      <c r="P17" s="260"/>
      <c r="Q17" s="267" t="e">
        <f>SUM(Q12:Q16)</f>
        <v>#REF!</v>
      </c>
      <c r="T17" s="258">
        <v>3498</v>
      </c>
    </row>
    <row r="18" spans="1:20" s="275" customFormat="1" ht="53.25" customHeight="1" x14ac:dyDescent="0.45">
      <c r="A18" s="7"/>
      <c r="B18" s="268" t="s">
        <v>215</v>
      </c>
      <c r="C18" s="269"/>
      <c r="D18" s="269"/>
      <c r="E18" s="269"/>
      <c r="F18" s="269"/>
      <c r="G18" s="269"/>
      <c r="H18" s="270"/>
      <c r="I18" s="271">
        <f>SUM(I8:I17)</f>
        <v>0</v>
      </c>
      <c r="J18" s="271">
        <f>SUM(J8:J17)</f>
        <v>0</v>
      </c>
      <c r="K18" s="256"/>
      <c r="L18" s="272"/>
      <c r="M18" s="273"/>
      <c r="N18" s="15"/>
      <c r="O18" s="274"/>
      <c r="P18" s="274"/>
    </row>
    <row r="19" spans="1:20" s="275" customFormat="1" ht="53.25" customHeight="1" x14ac:dyDescent="0.45">
      <c r="A19" s="7"/>
      <c r="B19" s="276"/>
      <c r="C19" s="143"/>
      <c r="D19" s="277" t="s">
        <v>216</v>
      </c>
      <c r="E19" s="278"/>
      <c r="F19" s="278"/>
      <c r="G19" s="278"/>
      <c r="H19" s="279"/>
      <c r="I19" s="280">
        <f>I18</f>
        <v>0</v>
      </c>
      <c r="J19" s="281">
        <f>J18</f>
        <v>0</v>
      </c>
      <c r="K19" s="256"/>
      <c r="L19" s="272"/>
      <c r="M19" s="282"/>
      <c r="N19" s="15"/>
      <c r="O19" s="274"/>
      <c r="P19" s="274"/>
    </row>
    <row r="20" spans="1:20" s="275" customFormat="1" ht="53.25" customHeight="1" x14ac:dyDescent="0.45">
      <c r="A20" s="7"/>
      <c r="B20" s="283" t="s">
        <v>217</v>
      </c>
      <c r="C20" s="284"/>
      <c r="D20" s="284"/>
      <c r="E20" s="284"/>
      <c r="F20" s="284"/>
      <c r="G20" s="284"/>
      <c r="H20" s="285"/>
      <c r="I20" s="286"/>
      <c r="J20" s="287"/>
      <c r="K20" s="256"/>
      <c r="L20" s="183"/>
      <c r="M20" s="282"/>
      <c r="N20" s="15"/>
      <c r="O20" s="274"/>
      <c r="P20" s="274"/>
      <c r="Q20" s="288"/>
    </row>
    <row r="21" spans="1:20" s="261" customFormat="1" ht="53.25" customHeight="1" x14ac:dyDescent="0.45">
      <c r="A21" s="246"/>
      <c r="B21" s="175"/>
      <c r="C21" s="289"/>
      <c r="D21" s="290"/>
      <c r="E21" s="290"/>
      <c r="F21" s="290"/>
      <c r="G21" s="291"/>
      <c r="H21" s="290"/>
      <c r="K21" s="290"/>
      <c r="L21" s="292"/>
      <c r="M21" s="293"/>
      <c r="N21" s="259"/>
      <c r="O21" s="260"/>
      <c r="P21" s="260"/>
    </row>
    <row r="22" spans="1:20" s="261" customFormat="1" ht="53.25" customHeight="1" x14ac:dyDescent="0.45">
      <c r="A22" s="246"/>
      <c r="B22" s="247"/>
      <c r="C22" s="289"/>
      <c r="D22" s="290"/>
      <c r="E22" s="290"/>
      <c r="F22" s="290"/>
      <c r="G22" s="291"/>
      <c r="H22" s="290"/>
      <c r="I22" s="290"/>
      <c r="J22" s="190"/>
      <c r="K22" s="294"/>
      <c r="L22" s="292"/>
      <c r="M22" s="16"/>
      <c r="N22" s="259"/>
      <c r="O22" s="260"/>
      <c r="P22" s="260"/>
    </row>
    <row r="23" spans="1:20" s="261" customFormat="1" ht="53.25" customHeight="1" x14ac:dyDescent="0.45">
      <c r="A23" s="246"/>
      <c r="B23" s="175"/>
      <c r="C23" s="289"/>
      <c r="D23" s="290"/>
      <c r="E23" s="290"/>
      <c r="F23" s="290"/>
      <c r="G23" s="291"/>
      <c r="H23" s="290"/>
      <c r="I23" s="290"/>
      <c r="J23" s="190"/>
      <c r="K23" s="294"/>
      <c r="L23" s="290"/>
      <c r="M23" s="16"/>
      <c r="N23" s="259"/>
      <c r="O23" s="260"/>
      <c r="P23" s="260"/>
    </row>
    <row r="24" spans="1:20" ht="53.25" customHeight="1" x14ac:dyDescent="0.45">
      <c r="I24" s="290"/>
      <c r="K24" s="294"/>
      <c r="M24" s="16"/>
    </row>
    <row r="25" spans="1:20" ht="53.25" customHeight="1" x14ac:dyDescent="0.45">
      <c r="I25" s="190"/>
      <c r="K25" s="294"/>
      <c r="M25" s="16"/>
      <c r="N25" s="15"/>
    </row>
    <row r="26" spans="1:20" ht="53.25" customHeight="1" x14ac:dyDescent="0.45">
      <c r="I26" s="190"/>
      <c r="K26" s="294"/>
      <c r="M26" s="16"/>
      <c r="N26" s="15"/>
    </row>
    <row r="27" spans="1:20" ht="53.25" customHeight="1" x14ac:dyDescent="0.45">
      <c r="I27" s="290"/>
      <c r="K27" s="294"/>
      <c r="M27" s="16"/>
      <c r="N27" s="15"/>
    </row>
    <row r="28" spans="1:20" ht="53.25" customHeight="1" x14ac:dyDescent="0.45">
      <c r="I28" s="295"/>
      <c r="J28" s="296"/>
      <c r="N28" s="15"/>
    </row>
    <row r="29" spans="1:20" ht="53.25" customHeight="1" x14ac:dyDescent="0.45">
      <c r="N29" s="15"/>
    </row>
    <row r="30" spans="1:20" ht="53.25" customHeight="1" x14ac:dyDescent="0.45">
      <c r="N30" s="15"/>
    </row>
  </sheetData>
  <mergeCells count="10">
    <mergeCell ref="M4:M5"/>
    <mergeCell ref="F5:G5"/>
    <mergeCell ref="B18:H18"/>
    <mergeCell ref="B1:L1"/>
    <mergeCell ref="B2:L2"/>
    <mergeCell ref="B3:D3"/>
    <mergeCell ref="F3:G3"/>
    <mergeCell ref="B4:C4"/>
    <mergeCell ref="F4:H4"/>
    <mergeCell ref="J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8.3828125" bestFit="1" customWidth="1"/>
  </cols>
  <sheetData>
    <row r="1" spans="1:94" x14ac:dyDescent="0.4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40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136</v>
      </c>
      <c r="BW1" t="s">
        <v>137</v>
      </c>
      <c r="BX1" t="s">
        <v>138</v>
      </c>
      <c r="BY1" t="s">
        <v>139</v>
      </c>
      <c r="BZ1" t="s">
        <v>140</v>
      </c>
      <c r="CA1" t="s">
        <v>141</v>
      </c>
      <c r="CB1" t="s">
        <v>142</v>
      </c>
      <c r="CC1" t="s">
        <v>143</v>
      </c>
      <c r="CD1" t="s">
        <v>144</v>
      </c>
      <c r="CE1" t="s">
        <v>145</v>
      </c>
      <c r="CF1" t="s">
        <v>146</v>
      </c>
      <c r="CG1" t="s">
        <v>147</v>
      </c>
      <c r="CH1" t="s">
        <v>148</v>
      </c>
      <c r="CI1" t="s">
        <v>149</v>
      </c>
      <c r="CJ1" t="s">
        <v>150</v>
      </c>
      <c r="CK1" t="s">
        <v>151</v>
      </c>
      <c r="CL1" t="s">
        <v>152</v>
      </c>
      <c r="CM1" t="s">
        <v>153</v>
      </c>
      <c r="CN1" t="s">
        <v>154</v>
      </c>
      <c r="CO1" t="s">
        <v>155</v>
      </c>
      <c r="CP1" t="s">
        <v>156</v>
      </c>
    </row>
    <row r="2" spans="1:94" x14ac:dyDescent="0.4">
      <c r="A2" s="2">
        <v>0</v>
      </c>
      <c r="B2" t="s">
        <v>157</v>
      </c>
      <c r="C2" s="3">
        <v>0</v>
      </c>
      <c r="D2" s="2">
        <v>0</v>
      </c>
      <c r="E2" s="3">
        <v>0</v>
      </c>
      <c r="F2" t="s">
        <v>157</v>
      </c>
      <c r="G2" s="2">
        <v>0</v>
      </c>
      <c r="H2" t="s">
        <v>157</v>
      </c>
      <c r="I2" s="2">
        <v>0</v>
      </c>
      <c r="J2" t="s">
        <v>157</v>
      </c>
      <c r="K2" t="s">
        <v>157</v>
      </c>
      <c r="L2" s="3">
        <v>0</v>
      </c>
      <c r="M2" t="s">
        <v>157</v>
      </c>
      <c r="N2" t="s">
        <v>158</v>
      </c>
      <c r="O2" s="3">
        <v>0</v>
      </c>
      <c r="P2" t="s">
        <v>157</v>
      </c>
      <c r="Q2" s="2">
        <v>0</v>
      </c>
      <c r="R2" s="2">
        <v>0</v>
      </c>
      <c r="S2" s="2">
        <v>0</v>
      </c>
      <c r="T2" s="3">
        <v>0</v>
      </c>
      <c r="U2" t="s">
        <v>157</v>
      </c>
      <c r="V2" t="s">
        <v>157</v>
      </c>
      <c r="W2" s="2">
        <v>0</v>
      </c>
      <c r="X2" s="2">
        <v>0</v>
      </c>
      <c r="Y2" s="2">
        <v>0</v>
      </c>
      <c r="Z2" t="s">
        <v>157</v>
      </c>
      <c r="AA2" s="4">
        <v>0</v>
      </c>
      <c r="AB2" s="4">
        <v>0</v>
      </c>
      <c r="AC2" t="s">
        <v>157</v>
      </c>
      <c r="AD2" t="s">
        <v>157</v>
      </c>
      <c r="AE2" t="s">
        <v>157</v>
      </c>
      <c r="AF2" s="3">
        <v>0</v>
      </c>
      <c r="AG2" s="3">
        <v>0</v>
      </c>
      <c r="AH2" t="s">
        <v>157</v>
      </c>
      <c r="AI2" s="2">
        <v>0</v>
      </c>
      <c r="AJ2" s="3">
        <v>0</v>
      </c>
      <c r="AK2" t="s">
        <v>157</v>
      </c>
      <c r="AL2" t="s">
        <v>157</v>
      </c>
      <c r="AM2" s="3">
        <v>0</v>
      </c>
      <c r="AN2" t="s">
        <v>158</v>
      </c>
      <c r="AO2" t="s">
        <v>157</v>
      </c>
      <c r="AP2" t="s">
        <v>157</v>
      </c>
      <c r="AQ2" t="s">
        <v>157</v>
      </c>
      <c r="AR2" t="s">
        <v>157</v>
      </c>
      <c r="AS2" s="2">
        <v>0</v>
      </c>
      <c r="AT2" t="s">
        <v>157</v>
      </c>
      <c r="AU2" s="3">
        <v>0</v>
      </c>
      <c r="AV2" t="s">
        <v>157</v>
      </c>
      <c r="AW2" t="s">
        <v>157</v>
      </c>
      <c r="AX2" s="3">
        <v>0</v>
      </c>
      <c r="AY2" t="s">
        <v>157</v>
      </c>
      <c r="AZ2" s="2">
        <v>0</v>
      </c>
      <c r="BA2" s="3">
        <v>0</v>
      </c>
      <c r="BB2" t="s">
        <v>157</v>
      </c>
      <c r="BC2" t="s">
        <v>157</v>
      </c>
      <c r="BD2" t="s">
        <v>157</v>
      </c>
      <c r="BE2" s="4">
        <v>0</v>
      </c>
      <c r="BF2" t="s">
        <v>157</v>
      </c>
      <c r="BG2" s="3">
        <v>0</v>
      </c>
      <c r="BH2" t="s">
        <v>158</v>
      </c>
      <c r="BI2" t="s">
        <v>157</v>
      </c>
      <c r="BJ2" s="3">
        <v>0</v>
      </c>
      <c r="BK2" t="s">
        <v>157</v>
      </c>
      <c r="BL2" s="3">
        <v>0</v>
      </c>
      <c r="BM2" s="3">
        <v>0</v>
      </c>
      <c r="BN2" t="s">
        <v>157</v>
      </c>
      <c r="BO2" t="s">
        <v>158</v>
      </c>
      <c r="BP2" t="s">
        <v>158</v>
      </c>
      <c r="BQ2" t="s">
        <v>157</v>
      </c>
      <c r="BR2" t="s">
        <v>158</v>
      </c>
      <c r="BS2" t="s">
        <v>157</v>
      </c>
      <c r="BT2" t="s">
        <v>157</v>
      </c>
      <c r="BU2" t="s">
        <v>157</v>
      </c>
      <c r="BV2" t="s">
        <v>157</v>
      </c>
      <c r="BW2" t="s">
        <v>157</v>
      </c>
      <c r="BX2" s="3">
        <v>0</v>
      </c>
      <c r="BY2" s="5">
        <v>0</v>
      </c>
      <c r="BZ2" t="s">
        <v>159</v>
      </c>
      <c r="CA2" t="s">
        <v>159</v>
      </c>
      <c r="CB2" s="5">
        <v>0</v>
      </c>
      <c r="CC2" t="s">
        <v>159</v>
      </c>
      <c r="CD2" s="6">
        <v>0</v>
      </c>
      <c r="CE2" s="3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t="s">
        <v>157</v>
      </c>
      <c r="CP2" t="s">
        <v>157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3</v>
      </c>
      <c r="B1" t="s">
        <v>1</v>
      </c>
    </row>
    <row r="2" spans="1:2" x14ac:dyDescent="0.4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D16" sqref="D16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4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4">
      <c r="A3" t="s">
        <v>10</v>
      </c>
      <c r="B3" t="s">
        <v>11</v>
      </c>
      <c r="D3" t="s">
        <v>28</v>
      </c>
      <c r="E3" t="s">
        <v>29</v>
      </c>
    </row>
    <row r="4" spans="1:11" x14ac:dyDescent="0.4">
      <c r="A4" t="s">
        <v>12</v>
      </c>
      <c r="B4" t="s">
        <v>13</v>
      </c>
      <c r="D4" t="s">
        <v>30</v>
      </c>
      <c r="E4" t="s">
        <v>31</v>
      </c>
    </row>
    <row r="5" spans="1:11" x14ac:dyDescent="0.4">
      <c r="A5" t="s">
        <v>14</v>
      </c>
      <c r="B5" t="s">
        <v>15</v>
      </c>
      <c r="D5" t="s">
        <v>32</v>
      </c>
      <c r="E5" t="s">
        <v>33</v>
      </c>
    </row>
    <row r="6" spans="1:11" x14ac:dyDescent="0.4">
      <c r="A6" t="s">
        <v>16</v>
      </c>
      <c r="B6" t="s">
        <v>17</v>
      </c>
      <c r="D6" t="s">
        <v>34</v>
      </c>
      <c r="E6" t="s">
        <v>35</v>
      </c>
    </row>
    <row r="7" spans="1:11" x14ac:dyDescent="0.4">
      <c r="A7" t="s">
        <v>18</v>
      </c>
      <c r="B7" t="s">
        <v>19</v>
      </c>
      <c r="D7" t="s">
        <v>50</v>
      </c>
      <c r="E7" t="s">
        <v>51</v>
      </c>
    </row>
    <row r="8" spans="1:11" x14ac:dyDescent="0.4">
      <c r="A8" t="s">
        <v>58</v>
      </c>
      <c r="B8" t="s">
        <v>59</v>
      </c>
      <c r="D8" t="s">
        <v>36</v>
      </c>
      <c r="E8" t="s">
        <v>37</v>
      </c>
    </row>
    <row r="9" spans="1:11" x14ac:dyDescent="0.4">
      <c r="A9" t="s">
        <v>20</v>
      </c>
      <c r="B9" t="s">
        <v>21</v>
      </c>
      <c r="D9" t="s">
        <v>38</v>
      </c>
      <c r="E9" t="s">
        <v>39</v>
      </c>
    </row>
    <row r="10" spans="1:11" x14ac:dyDescent="0.4">
      <c r="A10" t="s">
        <v>22</v>
      </c>
      <c r="B10" t="s">
        <v>23</v>
      </c>
      <c r="D10" t="s">
        <v>40</v>
      </c>
      <c r="E10" t="s">
        <v>41</v>
      </c>
    </row>
    <row r="11" spans="1:11" x14ac:dyDescent="0.4">
      <c r="A11" t="s">
        <v>24</v>
      </c>
      <c r="B11" t="s">
        <v>25</v>
      </c>
      <c r="D11" t="s">
        <v>60</v>
      </c>
      <c r="E11" t="s">
        <v>61</v>
      </c>
    </row>
    <row r="12" spans="1:11" x14ac:dyDescent="0.4">
      <c r="D12" t="s">
        <v>62</v>
      </c>
      <c r="E12" t="s">
        <v>63</v>
      </c>
    </row>
    <row r="13" spans="1:11" x14ac:dyDescent="0.4">
      <c r="D13" t="s">
        <v>0</v>
      </c>
      <c r="E13" t="s">
        <v>42</v>
      </c>
    </row>
    <row r="14" spans="1:11" x14ac:dyDescent="0.4">
      <c r="D14" t="s">
        <v>43</v>
      </c>
      <c r="E14" t="s">
        <v>44</v>
      </c>
    </row>
    <row r="15" spans="1:11" x14ac:dyDescent="0.4">
      <c r="D15" t="s">
        <v>52</v>
      </c>
      <c r="E15" t="s">
        <v>53</v>
      </c>
    </row>
    <row r="16" spans="1:11" x14ac:dyDescent="0.4">
      <c r="D16" t="s">
        <v>54</v>
      </c>
      <c r="E16" t="s">
        <v>55</v>
      </c>
    </row>
    <row r="17" spans="4:5" x14ac:dyDescent="0.4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WHT Front Page</vt:lpstr>
      <vt:lpstr>WHT</vt:lpstr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Felix Masila</cp:lastModifiedBy>
  <dcterms:modified xsi:type="dcterms:W3CDTF">2026-05-12T22:13:03Z</dcterms:modified>
</cp:coreProperties>
</file>