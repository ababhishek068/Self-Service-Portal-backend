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BH\ABH_UAT_LIVE\Layouts\"/>
    </mc:Choice>
  </mc:AlternateContent>
  <bookViews>
    <workbookView xWindow="0" yWindow="540" windowWidth="30823" windowHeight="15343" activeTab="2"/>
  </bookViews>
  <sheets>
    <sheet name="VAT" sheetId="5" r:id="rId1"/>
    <sheet name="FORM" sheetId="6" r:id="rId2"/>
    <sheet name="Data" sheetId="1" r:id="rId3"/>
    <sheet name="TranslationData" sheetId="2" r:id="rId4"/>
    <sheet name="CaptionData" sheetId="3" r:id="rId5"/>
    <sheet name="Aggregated Metadata" sheetId="4" r:id="rId6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62913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40" i="6" l="1"/>
  <c r="G39" i="6"/>
  <c r="G38" i="6"/>
  <c r="G37" i="6"/>
  <c r="G35" i="6"/>
  <c r="G34" i="6"/>
  <c r="G33" i="6"/>
  <c r="G40" i="6" s="1"/>
  <c r="C32" i="6"/>
  <c r="G30" i="6"/>
  <c r="G29" i="6"/>
  <c r="G32" i="6" s="1"/>
  <c r="C27" i="6"/>
  <c r="G20" i="6"/>
  <c r="G27" i="6" s="1"/>
  <c r="E43" i="6" s="1"/>
  <c r="E46" i="6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J62" i="5" l="1"/>
  <c r="I62" i="5"/>
</calcChain>
</file>

<file path=xl/sharedStrings.xml><?xml version="1.0" encoding="utf-8"?>
<sst xmlns="http://schemas.openxmlformats.org/spreadsheetml/2006/main" count="510" uniqueCount="354">
  <si>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</si>
  <si>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</si>
  <si>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</si>
  <si>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</si>
  <si>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</si>
  <si>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</si>
  <si>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</si>
  <si>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</si>
  <si>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</si>
  <si>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</si>
  <si>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</si>
  <si>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</si>
  <si>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</si>
  <si>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</si>
  <si>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</si>
  <si>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</si>
  <si>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</si>
  <si>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</si>
  <si>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</si>
  <si>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</si>
  <si>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</si>
  <si>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</si>
  <si>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</si>
  <si>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</si>
  <si>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</si>
  <si>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</si>
  <si>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</si>
  <si>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</si>
  <si>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</si>
  <si>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</si>
  <si>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</si>
  <si>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</si>
  <si>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</si>
  <si>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</si>
  <si>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</si>
  <si>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</si>
  <si>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</si>
  <si>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</si>
  <si>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</si>
  <si>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</si>
  <si>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</si>
  <si>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</si>
  <si>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</si>
  <si>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</si>
  <si>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</si>
  <si>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</si>
  <si>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</si>
  <si>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</si>
  <si>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</si>
  <si>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</si>
  <si>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</si>
  <si>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</si>
  <si>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</si>
  <si>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</si>
  <si>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</si>
  <si>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</si>
  <si>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</si>
  <si>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</si>
  <si>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</si>
  <si>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</si>
  <si>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</si>
  <si>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</si>
  <si>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</si>
  <si>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</si>
  <si>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AllowLineDisc</t>
  </si>
  <si>
    <t>Amount</t>
  </si>
  <si>
    <t>AmountIncludingVAT</t>
  </si>
  <si>
    <t>AppliedCreditMemoNo</t>
  </si>
  <si>
    <t>AppliestoDocNo</t>
  </si>
  <si>
    <t>AppliestoDocType</t>
  </si>
  <si>
    <t>BalAccountNo</t>
  </si>
  <si>
    <t>BalAccountType</t>
  </si>
  <si>
    <t>BankAccountNo</t>
  </si>
  <si>
    <t>BilltoAddress</t>
  </si>
  <si>
    <t>BilltoAddress2</t>
  </si>
  <si>
    <t>BilltoCity</t>
  </si>
  <si>
    <t>BilltoContact</t>
  </si>
  <si>
    <t>BilltoContactNo</t>
  </si>
  <si>
    <t>BilltoCountryRegionCode</t>
  </si>
  <si>
    <t>BilltoCounty</t>
  </si>
  <si>
    <t>BilltoCustomerNo</t>
  </si>
  <si>
    <t>BilltoName</t>
  </si>
  <si>
    <t>BilltoName2</t>
  </si>
  <si>
    <t>BilltoPostCode</t>
  </si>
  <si>
    <t>CFDICancellationID</t>
  </si>
  <si>
    <t>CFDICancellationReasonCode</t>
  </si>
  <si>
    <t>CFDIExportCode</t>
  </si>
  <si>
    <t>CFDIPeriod</t>
  </si>
  <si>
    <t>CFDIPurpose</t>
  </si>
  <si>
    <t>CFDIRelation</t>
  </si>
  <si>
    <t>CampaignNo</t>
  </si>
  <si>
    <t>Cancelled</t>
  </si>
  <si>
    <t>CashSale</t>
  </si>
  <si>
    <t>CertificateSerialNo</t>
  </si>
  <si>
    <t>Closed</t>
  </si>
  <si>
    <t>Comment</t>
  </si>
  <si>
    <t>CompanyBankAccountCode</t>
  </si>
  <si>
    <t>Correction</t>
  </si>
  <si>
    <t>Corrective</t>
  </si>
  <si>
    <t>CoupledtoCRM</t>
  </si>
  <si>
    <t>CoupledtoDataverse</t>
  </si>
  <si>
    <t>CurrencyCode</t>
  </si>
  <si>
    <t>CurrencyFactor</t>
  </si>
  <si>
    <t>CustLedgerEntryNo</t>
  </si>
  <si>
    <t>CustomerDiscGroup</t>
  </si>
  <si>
    <t>CustomerPostingGroup</t>
  </si>
  <si>
    <t>CustomerPriceGroup</t>
  </si>
  <si>
    <t>DateTimeCancelSent</t>
  </si>
  <si>
    <t>DateTimeCanceled</t>
  </si>
  <si>
    <t>DateTimeFirstReqSent</t>
  </si>
  <si>
    <t>DateTimeSent</t>
  </si>
  <si>
    <t>DateTimeStampReceived</t>
  </si>
  <si>
    <t>DateTimeStamped</t>
  </si>
  <si>
    <t>DigitalStampPAC</t>
  </si>
  <si>
    <t>DigitalStampSAT</t>
  </si>
  <si>
    <t>DimensionSetID</t>
  </si>
  <si>
    <t>DirectDebitMandateID</t>
  </si>
  <si>
    <t>DisputeStatus</t>
  </si>
  <si>
    <t>DisputeStatusId</t>
  </si>
  <si>
    <t>DocExchOriginalIdentifier</t>
  </si>
  <si>
    <t>DocumentDate</t>
  </si>
  <si>
    <t>DocumentExchangeIdentifier</t>
  </si>
  <si>
    <t>DocumentExchangeStatus</t>
  </si>
  <si>
    <t>DraftInvoiceSystemId</t>
  </si>
  <si>
    <t>DueDate</t>
  </si>
  <si>
    <t>EU3PartyTrade</t>
  </si>
  <si>
    <t>ElectronicDocumentSent</t>
  </si>
  <si>
    <t>ElectronicDocumentStatus</t>
  </si>
  <si>
    <t>ErrorCode</t>
  </si>
  <si>
    <t>ErrorDescription</t>
  </si>
  <si>
    <t>ExchangeRateUSD</t>
  </si>
  <si>
    <t>ExitPoint</t>
  </si>
  <si>
    <t>ExternalDocumentNo</t>
  </si>
  <si>
    <t>FiscalInvoiceNumberPAC</t>
  </si>
  <si>
    <t>ForeignTrade</t>
  </si>
  <si>
    <t>FormatRegion</t>
  </si>
  <si>
    <t>GenBusPostingGroup</t>
  </si>
  <si>
    <t>GetShipmentUsed</t>
  </si>
  <si>
    <t>InvoiceCleared</t>
  </si>
  <si>
    <t>InvoiceDiscCode</t>
  </si>
  <si>
    <t>InvoiceDiscountAmount</t>
  </si>
  <si>
    <t>InvoiceDiscountCalculation</t>
  </si>
  <si>
    <t>InvoiceDiscountValue</t>
  </si>
  <si>
    <t>LanguageCode</t>
  </si>
  <si>
    <t>LocationCode</t>
  </si>
  <si>
    <t>MarkedasCanceled</t>
  </si>
  <si>
    <t>No</t>
  </si>
  <si>
    <t>NoPrinted</t>
  </si>
  <si>
    <t>NoSeries</t>
  </si>
  <si>
    <t>NoofEDocumentsSent</t>
  </si>
  <si>
    <t>OnHold</t>
  </si>
  <si>
    <t>OpportunityNo</t>
  </si>
  <si>
    <t>OrderDate</t>
  </si>
  <si>
    <t>OrderNo</t>
  </si>
  <si>
    <t>OrderNoSeries</t>
  </si>
  <si>
    <t>OriginalDocumentXML</t>
  </si>
  <si>
    <t>OriginalString</t>
  </si>
  <si>
    <t>PACWebServiceName</t>
  </si>
  <si>
    <t>PackageTrackingNo</t>
  </si>
  <si>
    <t>PayMode</t>
  </si>
  <si>
    <t>PaymentDiscount</t>
  </si>
  <si>
    <t>PaymentMethodCode</t>
  </si>
  <si>
    <t>PaymentReference</t>
  </si>
  <si>
    <t>PaymentServiceSetID</t>
  </si>
  <si>
    <t>PaymentTermsCode</t>
  </si>
  <si>
    <t>PmtDiscountDate</t>
  </si>
  <si>
    <t>PostingDate</t>
  </si>
  <si>
    <t>PostingDescription</t>
  </si>
  <si>
    <t>PreAssignedNo</t>
  </si>
  <si>
    <t>PreAssignedNoSeries</t>
  </si>
  <si>
    <t>PreparedBy</t>
  </si>
  <si>
    <t>PrepaymentInvoice</t>
  </si>
  <si>
    <t>PrepaymentNoSeries</t>
  </si>
  <si>
    <t>PrepaymentOrderNo</t>
  </si>
  <si>
    <t>PriceCalculationMethod</t>
  </si>
  <si>
    <t>PricesIncludingVAT</t>
  </si>
  <si>
    <t>PromisedPayDate</t>
  </si>
  <si>
    <t>QRCode</t>
  </si>
  <si>
    <t>QuoteNo</t>
  </si>
  <si>
    <t>ReasonCode</t>
  </si>
  <si>
    <t>RegistrationNumber</t>
  </si>
  <si>
    <t>RemainingAmount</t>
  </si>
  <si>
    <t>ResponsibilityCenter</t>
  </si>
  <si>
    <t>Reversed</t>
  </si>
  <si>
    <t>SATAddressID</t>
  </si>
  <si>
    <t>SATInternationalTradeTerm</t>
  </si>
  <si>
    <t>STETransactionID</t>
  </si>
  <si>
    <t>SalesPerson</t>
  </si>
  <si>
    <t>SalespersonCode</t>
  </si>
  <si>
    <t>SelltoAddress</t>
  </si>
  <si>
    <t>SelltoAddress2</t>
  </si>
  <si>
    <t>SelltoCity</t>
  </si>
  <si>
    <t>SelltoContact</t>
  </si>
  <si>
    <t>SelltoContactNo</t>
  </si>
  <si>
    <t>SelltoCountryRegionCode</t>
  </si>
  <si>
    <t>SelltoCounty</t>
  </si>
  <si>
    <t>SelltoCustomerName</t>
  </si>
  <si>
    <t>SelltoCustomerName2</t>
  </si>
  <si>
    <t>SelltoCustomerNo</t>
  </si>
  <si>
    <t>SelltoEMail</t>
  </si>
  <si>
    <t>SelltoPhoneNo</t>
  </si>
  <si>
    <t>SelltoPostCode</t>
  </si>
  <si>
    <t>ShiftNo</t>
  </si>
  <si>
    <t>ShiptoAddress</t>
  </si>
  <si>
    <t>ShiptoAddress2</t>
  </si>
  <si>
    <t>ShiptoCity</t>
  </si>
  <si>
    <t>ShiptoCode</t>
  </si>
  <si>
    <t>ShiptoContact</t>
  </si>
  <si>
    <t>ShiptoCountryRegionCode</t>
  </si>
  <si>
    <t>ShiptoCounty</t>
  </si>
  <si>
    <t>ShiptoName</t>
  </si>
  <si>
    <t>ShiptoName2</t>
  </si>
  <si>
    <t>ShiptoPostCode</t>
  </si>
  <si>
    <t>ShiptoUPSZone</t>
  </si>
  <si>
    <t>ShipmentDate</t>
  </si>
  <si>
    <t>ShipmentMethodCode</t>
  </si>
  <si>
    <t>ShippingAgentCode</t>
  </si>
  <si>
    <t>ShortcutDimension1Code</t>
  </si>
  <si>
    <t>ShortcutDimension2Code</t>
  </si>
  <si>
    <t>SignedDocumentXML</t>
  </si>
  <si>
    <t>SourceCode</t>
  </si>
  <si>
    <t>SubstitutionDocumentNo</t>
  </si>
  <si>
    <t>SystemCreatedAt</t>
  </si>
  <si>
    <t>SystemCreatedBy</t>
  </si>
  <si>
    <t>SystemId</t>
  </si>
  <si>
    <t>SystemModifiedAt</t>
  </si>
  <si>
    <t>SystemModifiedBy</t>
  </si>
  <si>
    <t>TaxAreaCode</t>
  </si>
  <si>
    <t>TaxExemptionNo</t>
  </si>
  <si>
    <t>TaxLiable</t>
  </si>
  <si>
    <t>TotalAmount</t>
  </si>
  <si>
    <t>TransactionNo</t>
  </si>
  <si>
    <t>TransactionSpecification</t>
  </si>
  <si>
    <t>TransactionType</t>
  </si>
  <si>
    <t>TransittoLocation</t>
  </si>
  <si>
    <t>TransportMethod</t>
  </si>
  <si>
    <t>UserID</t>
  </si>
  <si>
    <t>VATBaseDiscount</t>
  </si>
  <si>
    <t>VATBusPostingGroup</t>
  </si>
  <si>
    <t>VATCountryRegionCode</t>
  </si>
  <si>
    <t>VATRegistrationNo</t>
  </si>
  <si>
    <t>VATReportingDate</t>
  </si>
  <si>
    <t>WorkDescription</t>
  </si>
  <si>
    <t>YourReference</t>
  </si>
  <si>
    <t>False</t>
  </si>
  <si>
    <t/>
  </si>
  <si>
    <t>00000000-0000-0000-0000-000000000000</t>
  </si>
  <si>
    <t>የኢትዮጵያ ገቢዎችና ጉምሩክ ባለሥልጣን</t>
  </si>
  <si>
    <t>የግብር ከፋዮች የአገር ውስጥ ዕቃ ግዢ ማሳወቂያ ቅጽ</t>
  </si>
  <si>
    <t>የግብር ከፋይ መለያ ቁጥር</t>
  </si>
  <si>
    <t>0004168579</t>
  </si>
  <si>
    <t>የቢሮ ቁጥር</t>
  </si>
  <si>
    <t>+251-116186520</t>
  </si>
  <si>
    <t>የግብር ከፋይ ሥም</t>
  </si>
  <si>
    <t>ABH Partners Plc</t>
  </si>
  <si>
    <t>የሞባይል ቁጥር</t>
  </si>
  <si>
    <t>+251-911511610</t>
  </si>
  <si>
    <t>የሥራው ዓይነት</t>
  </si>
  <si>
    <t xml:space="preserve">Health Consultancy, Medical Item Importer &amp; Car Rental Service </t>
  </si>
  <si>
    <t>ሪፖርት የተደረገበት ወርና ዓ.ም</t>
  </si>
  <si>
    <t>Meskerem  2018</t>
  </si>
  <si>
    <t>PV</t>
  </si>
  <si>
    <t>ተ.ቁ.</t>
  </si>
  <si>
    <t>የሻጭ ድርጅት/ ግለሰብ ሥም</t>
  </si>
  <si>
    <t>የግብር ከፋይ መለያ
ቁጥር</t>
  </si>
  <si>
    <t>የተከፈለው የገንዘብ መጠን በብር</t>
  </si>
  <si>
    <t>ግዢ የተፈፀመበት ደረሰኝ</t>
  </si>
  <si>
    <t>VAT 
CATEGORY</t>
  </si>
  <si>
    <t xml:space="preserve">Description </t>
  </si>
  <si>
    <t>UOM</t>
  </si>
  <si>
    <t>Qty</t>
  </si>
  <si>
    <t>Unit Price</t>
  </si>
  <si>
    <t>የአገልግሎት 
ግዥ ዋጋ</t>
  </si>
  <si>
    <t>ተጨማሪ እሴት
ታክስ</t>
  </si>
  <si>
    <t>ቁጥር</t>
  </si>
  <si>
    <t>የተሰጠበት ቀን</t>
  </si>
  <si>
    <t>MRC Number</t>
  </si>
  <si>
    <t>ጠቅላላ ድምር</t>
  </si>
  <si>
    <t>ከላይ የተገለፀው መረጃ ትክክል መሆኑን አረጋግጣለሁ</t>
  </si>
  <si>
    <t>የድርጅቱ ማህተም</t>
  </si>
  <si>
    <t>ለቢሮ አገልግሎት</t>
  </si>
  <si>
    <r>
      <t xml:space="preserve">ያረጋገጠው ሥም  </t>
    </r>
    <r>
      <rPr>
        <b/>
        <u/>
        <sz val="12"/>
        <rFont val="Times New Roman"/>
        <family val="1"/>
      </rPr>
      <t xml:space="preserve">                                          .</t>
    </r>
  </si>
  <si>
    <t>ያጣራው ኦፊሰር ስም</t>
  </si>
  <si>
    <t>ፊርማ       ____________________</t>
  </si>
  <si>
    <t>ፊርማ</t>
  </si>
  <si>
    <t>ቀን        _____________________</t>
  </si>
  <si>
    <t>በኢትዮጵያ ፌዴራላዊ ዲሞክራሲያዊ ሪፐብሊክ
የኢትዮጵያ ገቢዎችና ጉምሩክ ሳለስልጣን</t>
  </si>
  <si>
    <t xml:space="preserve">The Federal Democratic Republic of Ethiopia 
Ethiopian Revenues and Customs Authority </t>
  </si>
  <si>
    <t>የተጨማሪ እሴት ታክስ ማሳወቂያ</t>
  </si>
  <si>
    <t>VALUE ADDED TAX DECLARATON</t>
  </si>
  <si>
    <t>የሰነድ ቁጥር  
Document No.</t>
  </si>
  <si>
    <t>VALUE ADDED TAX DECLAREATION የተጨማሪ እሴት ታክስማሳወቂያ</t>
  </si>
  <si>
    <t xml:space="preserve">1.1   የግብር ከፋዩ ስም   </t>
  </si>
  <si>
    <t>ኤቢኤች ፓርትነርስ ኃ.የተ.የግል ማህበር</t>
  </si>
  <si>
    <t xml:space="preserve">  Name of Taxparyer</t>
  </si>
  <si>
    <t>ABH PARTNERS PLC</t>
  </si>
  <si>
    <t xml:space="preserve">1.2 የግብር ከፋይ መለያ ቁጥር/ Taxpayer Identification Number (TIN) </t>
  </si>
  <si>
    <t xml:space="preserve">1.3 የተጨማሪ እሴት ታክስ ቁጥር / VAT Registration Number </t>
  </si>
  <si>
    <t>962590002</t>
  </si>
  <si>
    <t>Yekatit 2018</t>
  </si>
  <si>
    <t xml:space="preserve">For the Month of </t>
  </si>
  <si>
    <t>February 08 to  March 09,2026</t>
  </si>
  <si>
    <t>ክፍል 2 የተጨማሪ እሴት ታክስ ስሌት / Part 2 Computation of Value Added Tax</t>
  </si>
  <si>
    <r>
      <t>2.1 በዚህ ወር የሚያሳውቁት ከሌለ (</t>
    </r>
    <r>
      <rPr>
        <sz val="11"/>
        <color indexed="8"/>
        <rFont val="Cambria"/>
        <family val="1"/>
      </rPr>
      <t>ü</t>
    </r>
    <r>
      <rPr>
        <sz val="11"/>
        <color indexed="8"/>
        <rFont val="Cambria"/>
        <family val="1"/>
      </rPr>
      <t>) ምልክት ያድርጉ if the return for the period is NIL (</t>
    </r>
    <r>
      <rPr>
        <sz val="11"/>
        <color indexed="8"/>
        <rFont val="Cambria"/>
        <family val="1"/>
      </rPr>
      <t>ü</t>
    </r>
    <r>
      <rPr>
        <sz val="11"/>
        <color indexed="8"/>
        <rFont val="Cambria"/>
        <family val="1"/>
      </rPr>
      <t>) Her _________</t>
    </r>
  </si>
  <si>
    <t>2.2 የምርት ውጤት ታክስ ስሌት / Computation of output Tax</t>
  </si>
  <si>
    <t>Taxable Sales / Supplies</t>
  </si>
  <si>
    <t xml:space="preserve">VAT on Taxable Sales/Supplies </t>
  </si>
  <si>
    <t xml:space="preserve">Zero-Rated Sales / Supplies  </t>
  </si>
  <si>
    <t xml:space="preserve">Tax-Exempt Sales / Supplies </t>
  </si>
  <si>
    <t xml:space="preserve">Services or supplies Subject to Reverse Taxation </t>
  </si>
  <si>
    <t xml:space="preserve">VAT on Services or Supplies subject to Reverse Taxation </t>
  </si>
  <si>
    <t>Tax Adjustment With Dfebit Note</t>
  </si>
  <si>
    <t xml:space="preserve">VAT on Tax Adjustment with Debit Note </t>
  </si>
  <si>
    <t>Tax Adjustment With Credit Note</t>
  </si>
  <si>
    <t xml:space="preserve">VAT on Tax Adjustment with Credit Note </t>
  </si>
  <si>
    <t>Total Sales /Supplies
(Lines 5+15+20+25+35)-45)</t>
  </si>
  <si>
    <t>VAT on Total Sales/Supplies ((10+30+40)-50)</t>
  </si>
  <si>
    <t>2.3 የግብዓት ታክስ ስሌት / Computation of input Tax</t>
  </si>
  <si>
    <t xml:space="preserve">Local Purchase Capital Assets </t>
  </si>
  <si>
    <t xml:space="preserve">VAT on local Purchase Capital Assets </t>
  </si>
  <si>
    <t xml:space="preserve">Imported Capital Assets </t>
  </si>
  <si>
    <t xml:space="preserve">VAT on Imported Capital Assets </t>
  </si>
  <si>
    <t xml:space="preserve">Purchase with NO VAT or Unclaimed Inputs </t>
  </si>
  <si>
    <t>Total Capital Assets (65+75+85)</t>
  </si>
  <si>
    <t xml:space="preserve">VAT on Total Assets </t>
  </si>
  <si>
    <t xml:space="preserve">Local Purchase Inputs </t>
  </si>
  <si>
    <t>VAT on Local Purchase Inputs</t>
  </si>
  <si>
    <t xml:space="preserve">Imported Inputs </t>
  </si>
  <si>
    <t xml:space="preserve">VAT on Imported Inputs </t>
  </si>
  <si>
    <t xml:space="preserve">General Expense Inputs Purchase </t>
  </si>
  <si>
    <t xml:space="preserve">VAT on General Expense Inputs </t>
  </si>
  <si>
    <t xml:space="preserve">Purchase with NO VAT on Unclaimed Inputs </t>
  </si>
  <si>
    <t xml:space="preserve">Deductible on VAT Reverse Taxation </t>
  </si>
  <si>
    <t xml:space="preserve">VAT on Deductible on VAT Reverse Taxation </t>
  </si>
  <si>
    <r>
      <t xml:space="preserve">Tax Adjustments With </t>
    </r>
    <r>
      <rPr>
        <b/>
        <sz val="14"/>
        <color indexed="8"/>
        <rFont val="Cambria"/>
        <family val="1"/>
      </rPr>
      <t>Debit</t>
    </r>
    <r>
      <rPr>
        <sz val="14"/>
        <color indexed="8"/>
        <rFont val="Cambria"/>
        <family val="1"/>
      </rPr>
      <t xml:space="preserve"> Note </t>
    </r>
  </si>
  <si>
    <r>
      <t xml:space="preserve">VAT on Tax Adjustment with </t>
    </r>
    <r>
      <rPr>
        <b/>
        <sz val="14"/>
        <color indexed="8"/>
        <rFont val="Cambria"/>
        <family val="1"/>
      </rPr>
      <t>Debit</t>
    </r>
    <r>
      <rPr>
        <sz val="14"/>
        <color indexed="8"/>
        <rFont val="Cambria"/>
        <family val="1"/>
      </rPr>
      <t xml:space="preserve"> Note </t>
    </r>
  </si>
  <si>
    <r>
      <t xml:space="preserve">Tax Adjustments With </t>
    </r>
    <r>
      <rPr>
        <b/>
        <sz val="14"/>
        <color indexed="8"/>
        <rFont val="Cambria"/>
        <family val="1"/>
      </rPr>
      <t>Credit</t>
    </r>
    <r>
      <rPr>
        <sz val="14"/>
        <color indexed="8"/>
        <rFont val="Cambria"/>
        <family val="1"/>
      </rPr>
      <t xml:space="preserve"> Note </t>
    </r>
  </si>
  <si>
    <r>
      <t xml:space="preserve">VAT on Tax Adjustment with </t>
    </r>
    <r>
      <rPr>
        <b/>
        <sz val="14"/>
        <color indexed="8"/>
        <rFont val="Cambria"/>
        <family val="1"/>
      </rPr>
      <t>Credit</t>
    </r>
    <r>
      <rPr>
        <sz val="14"/>
        <color indexed="8"/>
        <rFont val="Cambria"/>
        <family val="1"/>
      </rPr>
      <t xml:space="preserve"> Note </t>
    </r>
  </si>
  <si>
    <t>Total Non Capital Inputs (100+110+120+130+135+145)-155</t>
  </si>
  <si>
    <t>VAT on Total Inputs (105+115+125+140+150)-160</t>
  </si>
  <si>
    <t xml:space="preserve">VAT on Government Voucher </t>
  </si>
  <si>
    <t>Other Credits for the Month
(Payments, Sales Tax, Goods on Hand)</t>
  </si>
  <si>
    <t>VAT due for the Month
(Before Previous Month Credit)</t>
  </si>
  <si>
    <t>VAT Credit for the Month|
(Line 95+170+175+180-60)</t>
  </si>
  <si>
    <t>Credit Carried Forward From PREVIOUSE MONTH</t>
  </si>
  <si>
    <t xml:space="preserve">ጠቅላላ ተከፋይ
AMOUNT TO BE PAID </t>
  </si>
  <si>
    <t>ለተከታዩ ወር የሚታሰብ ተመላሽ ሂሳብ 
Credit Available for carry forwar(Line 190+195-185)</t>
  </si>
  <si>
    <t>ክፍል 3 የትክክለኛነት ማረጋገጫ /Part 3 commitment/</t>
  </si>
  <si>
    <t>በዚህ ቅጽ ላይ የሰፈሩት ሁለት መረጃዎች ተከክልና የተሟላ መሆኑን አረጋግጣለሁ፡፡ I here by certify that the information given in this from is true and coplete.</t>
  </si>
  <si>
    <t>ማህተም/Stamp</t>
  </si>
  <si>
    <t xml:space="preserve">ሙሉ ስም/  Name      </t>
  </si>
  <si>
    <t>ፊርማ/Signature</t>
  </si>
  <si>
    <t>ቀን/Date</t>
  </si>
  <si>
    <t xml:space="preserve">ክፍል 4 ለተጨማሪ እሴት ታከስ መምሪያ አገልግሎት ብቻ / Part 4 For VAT Department use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</si>
</sst>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dd/mm/yy\ hh:mm:ss;@"/>
    <numFmt numFmtId="165" formatCode="[$-409]d/mmm/yy;@"/>
    <numFmt numFmtId="166" formatCode="dd\/mm\/yyyy"/>
  </numFmts>
  <fonts count="21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4"/>
      <color theme="0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20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20"/>
      <color theme="1"/>
      <name val="Calibri Light"/>
      <family val="1"/>
      <scheme val="major"/>
    </font>
    <font>
      <sz val="11"/>
      <color indexed="8"/>
      <name val="Cambria"/>
      <family val="1"/>
    </font>
    <font>
      <b/>
      <sz val="14"/>
      <color indexed="8"/>
      <name val="Cambria"/>
      <family val="1"/>
    </font>
    <font>
      <sz val="14"/>
      <color indexed="8"/>
      <name val="Cambria"/>
      <family val="1"/>
    </font>
    <font>
      <b/>
      <sz val="11"/>
      <color theme="1"/>
      <name val="Calibri Light"/>
      <family val="1"/>
      <scheme val="major"/>
    </font>
    <font>
      <sz val="16"/>
      <color theme="1"/>
      <name val="Calibri Light"/>
      <family val="1"/>
      <scheme val="major"/>
    </font>
    <font>
      <b/>
      <sz val="22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8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3" fillId="0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 indent="6"/>
    </xf>
    <xf numFmtId="49" fontId="5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/>
    <xf numFmtId="0" fontId="4" fillId="0" borderId="0" xfId="0" applyFont="1" applyFill="1" applyAlignment="1">
      <alignment horizontal="right"/>
    </xf>
    <xf numFmtId="49" fontId="5" fillId="0" borderId="1" xfId="0" applyNumberFormat="1" applyFont="1" applyFill="1" applyBorder="1" applyAlignment="1">
      <alignment horizontal="left"/>
    </xf>
    <xf numFmtId="43" fontId="4" fillId="0" borderId="0" xfId="1" applyFont="1" applyFill="1"/>
    <xf numFmtId="0" fontId="4" fillId="0" borderId="0" xfId="0" applyFont="1" applyFill="1"/>
    <xf numFmtId="165" fontId="4" fillId="0" borderId="0" xfId="0" applyNumberFormat="1" applyFont="1" applyFill="1"/>
    <xf numFmtId="43" fontId="4" fillId="0" borderId="0" xfId="1" applyFont="1" applyFill="1" applyAlignment="1">
      <alignment horizontal="center"/>
    </xf>
    <xf numFmtId="43" fontId="4" fillId="0" borderId="0" xfId="1" applyFont="1" applyFill="1" applyAlignment="1">
      <alignment horizontal="left"/>
    </xf>
    <xf numFmtId="49" fontId="5" fillId="0" borderId="2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43" fontId="5" fillId="0" borderId="0" xfId="1" applyFont="1" applyFill="1" applyBorder="1" applyAlignment="1"/>
    <xf numFmtId="0" fontId="4" fillId="0" borderId="0" xfId="0" applyFont="1" applyFill="1" applyBorder="1" applyAlignment="1">
      <alignment horizontal="left" indent="6"/>
    </xf>
    <xf numFmtId="43" fontId="5" fillId="0" borderId="0" xfId="1" applyFont="1" applyFill="1" applyBorder="1" applyAlignment="1">
      <alignment horizontal="left"/>
    </xf>
    <xf numFmtId="49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43" fontId="5" fillId="4" borderId="9" xfId="1" applyFont="1" applyFill="1" applyBorder="1" applyAlignment="1">
      <alignment horizontal="center" vertical="center" wrapText="1"/>
    </xf>
    <xf numFmtId="40" fontId="5" fillId="4" borderId="9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165" fontId="5" fillId="4" borderId="9" xfId="0" applyNumberFormat="1" applyFont="1" applyFill="1" applyBorder="1" applyAlignment="1">
      <alignment horizontal="center" vertical="center" wrapText="1"/>
    </xf>
    <xf numFmtId="49" fontId="5" fillId="4" borderId="1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vertical="center" wrapText="1"/>
    </xf>
    <xf numFmtId="49" fontId="4" fillId="0" borderId="13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 wrapText="1"/>
    </xf>
    <xf numFmtId="43" fontId="4" fillId="0" borderId="13" xfId="1" applyFont="1" applyFill="1" applyBorder="1" applyAlignment="1">
      <alignment horizontal="center" vertical="center"/>
    </xf>
    <xf numFmtId="40" fontId="4" fillId="0" borderId="13" xfId="0" applyNumberFormat="1" applyFont="1" applyFill="1" applyBorder="1" applyAlignment="1">
      <alignment vertical="center"/>
    </xf>
    <xf numFmtId="40" fontId="4" fillId="3" borderId="13" xfId="0" applyNumberFormat="1" applyFont="1" applyFill="1" applyBorder="1" applyAlignment="1">
      <alignment vertical="center"/>
    </xf>
    <xf numFmtId="14" fontId="4" fillId="0" borderId="13" xfId="0" applyNumberFormat="1" applyFont="1" applyFill="1" applyBorder="1" applyAlignment="1">
      <alignment horizontal="center" vertical="center"/>
    </xf>
    <xf numFmtId="43" fontId="4" fillId="0" borderId="13" xfId="1" applyFont="1" applyFill="1" applyBorder="1" applyAlignment="1">
      <alignment horizontal="center" wrapText="1"/>
    </xf>
    <xf numFmtId="43" fontId="4" fillId="0" borderId="13" xfId="1" applyFont="1" applyFill="1" applyBorder="1" applyAlignment="1">
      <alignment horizontal="left" wrapText="1"/>
    </xf>
    <xf numFmtId="43" fontId="4" fillId="0" borderId="14" xfId="1" applyFont="1" applyFill="1" applyBorder="1" applyAlignment="1">
      <alignment horizontal="center" vertical="center"/>
    </xf>
    <xf numFmtId="49" fontId="4" fillId="0" borderId="14" xfId="0" applyNumberFormat="1" applyFont="1" applyFill="1" applyBorder="1" applyAlignment="1">
      <alignment horizontal="center" vertical="center"/>
    </xf>
    <xf numFmtId="43" fontId="4" fillId="3" borderId="14" xfId="1" applyFont="1" applyFill="1" applyBorder="1" applyAlignment="1">
      <alignment horizontal="center" vertical="center"/>
    </xf>
    <xf numFmtId="43" fontId="4" fillId="0" borderId="14" xfId="1" applyFont="1" applyFill="1" applyBorder="1" applyAlignment="1">
      <alignment horizontal="left" wrapText="1"/>
    </xf>
    <xf numFmtId="166" fontId="4" fillId="0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left" vertical="center"/>
    </xf>
    <xf numFmtId="43" fontId="4" fillId="0" borderId="14" xfId="1" applyFont="1" applyFill="1" applyBorder="1" applyAlignment="1">
      <alignment horizontal="center" wrapText="1"/>
    </xf>
    <xf numFmtId="0" fontId="4" fillId="3" borderId="12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vertical="center" wrapText="1"/>
    </xf>
    <xf numFmtId="49" fontId="5" fillId="3" borderId="0" xfId="0" applyNumberFormat="1" applyFont="1" applyFill="1" applyAlignment="1">
      <alignment horizontal="center"/>
    </xf>
    <xf numFmtId="49" fontId="5" fillId="0" borderId="15" xfId="0" applyNumberFormat="1" applyFont="1" applyFill="1" applyBorder="1" applyAlignment="1">
      <alignment horizontal="right" vertical="center"/>
    </xf>
    <xf numFmtId="49" fontId="5" fillId="0" borderId="16" xfId="0" applyNumberFormat="1" applyFont="1" applyFill="1" applyBorder="1" applyAlignment="1">
      <alignment horizontal="right" vertical="center"/>
    </xf>
    <xf numFmtId="49" fontId="5" fillId="0" borderId="17" xfId="0" applyNumberFormat="1" applyFont="1" applyFill="1" applyBorder="1" applyAlignment="1">
      <alignment horizontal="right" vertical="center"/>
    </xf>
    <xf numFmtId="40" fontId="5" fillId="0" borderId="13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vertical="center"/>
    </xf>
    <xf numFmtId="49" fontId="5" fillId="0" borderId="9" xfId="0" applyNumberFormat="1" applyFont="1" applyFill="1" applyBorder="1" applyAlignment="1">
      <alignment horizontal="center" vertical="center"/>
    </xf>
    <xf numFmtId="49" fontId="5" fillId="0" borderId="11" xfId="0" applyNumberFormat="1" applyFont="1" applyFill="1" applyBorder="1" applyAlignment="1">
      <alignment vertical="center"/>
    </xf>
    <xf numFmtId="49" fontId="5" fillId="0" borderId="0" xfId="0" applyNumberFormat="1" applyFont="1" applyFill="1" applyBorder="1"/>
    <xf numFmtId="0" fontId="5" fillId="0" borderId="0" xfId="0" applyFont="1" applyFill="1" applyAlignment="1">
      <alignment horizontal="center"/>
    </xf>
    <xf numFmtId="40" fontId="5" fillId="0" borderId="0" xfId="0" applyNumberFormat="1" applyFont="1" applyFill="1"/>
    <xf numFmtId="43" fontId="5" fillId="0" borderId="0" xfId="1" applyFont="1" applyFill="1"/>
    <xf numFmtId="49" fontId="5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left"/>
    </xf>
    <xf numFmtId="165" fontId="4" fillId="0" borderId="1" xfId="0" applyNumberFormat="1" applyFont="1" applyFill="1" applyBorder="1"/>
    <xf numFmtId="165" fontId="4" fillId="0" borderId="2" xfId="0" applyNumberFormat="1" applyFont="1" applyFill="1" applyBorder="1"/>
    <xf numFmtId="165" fontId="4" fillId="0" borderId="0" xfId="0" applyNumberFormat="1" applyFont="1" applyFill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9" fillId="5" borderId="0" xfId="0" applyFont="1" applyFill="1" applyAlignment="1">
      <alignment horizontal="center"/>
    </xf>
    <xf numFmtId="43" fontId="8" fillId="0" borderId="0" xfId="1" applyFont="1"/>
    <xf numFmtId="0" fontId="10" fillId="0" borderId="0" xfId="0" applyFont="1" applyAlignment="1"/>
    <xf numFmtId="0" fontId="11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/>
    <xf numFmtId="0" fontId="10" fillId="0" borderId="0" xfId="0" applyFont="1" applyAlignment="1">
      <alignment horizontal="left" indent="3"/>
    </xf>
    <xf numFmtId="0" fontId="12" fillId="0" borderId="0" xfId="0" applyFont="1" applyAlignment="1"/>
    <xf numFmtId="0" fontId="11" fillId="0" borderId="1" xfId="0" applyFont="1" applyBorder="1" applyAlignment="1">
      <alignment horizontal="left" indent="2"/>
    </xf>
    <xf numFmtId="0" fontId="13" fillId="0" borderId="0" xfId="0" applyFont="1"/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7" fillId="0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9" fillId="5" borderId="0" xfId="0" applyFont="1" applyFill="1" applyAlignment="1">
      <alignment horizontal="left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right" vertical="center" wrapText="1"/>
    </xf>
    <xf numFmtId="4" fontId="10" fillId="0" borderId="18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7" fillId="0" borderId="14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horizontal="center" vertical="center" wrapText="1"/>
    </xf>
    <xf numFmtId="4" fontId="7" fillId="0" borderId="3" xfId="0" applyNumberFormat="1" applyFont="1" applyFill="1" applyBorder="1" applyAlignment="1">
      <alignment horizontal="right" vertical="center" wrapText="1"/>
    </xf>
    <xf numFmtId="4" fontId="7" fillId="0" borderId="18" xfId="0" applyNumberFormat="1" applyFont="1" applyFill="1" applyBorder="1" applyAlignment="1">
      <alignment horizontal="right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4" fontId="10" fillId="0" borderId="19" xfId="0" applyNumberFormat="1" applyFont="1" applyBorder="1" applyAlignment="1">
      <alignment horizontal="right" vertical="center" wrapText="1"/>
    </xf>
    <xf numFmtId="4" fontId="10" fillId="0" borderId="20" xfId="0" applyNumberFormat="1" applyFont="1" applyBorder="1" applyAlignment="1">
      <alignment horizontal="right" vertical="center" wrapText="1"/>
    </xf>
    <xf numFmtId="0" fontId="10" fillId="0" borderId="5" xfId="0" applyFont="1" applyBorder="1" applyAlignment="1">
      <alignment vertical="center" wrapText="1"/>
    </xf>
    <xf numFmtId="4" fontId="10" fillId="0" borderId="21" xfId="0" applyNumberFormat="1" applyFont="1" applyBorder="1" applyAlignment="1">
      <alignment horizontal="right" vertical="center" wrapText="1"/>
    </xf>
    <xf numFmtId="0" fontId="10" fillId="0" borderId="22" xfId="0" applyFont="1" applyBorder="1" applyAlignment="1">
      <alignment vertical="center" wrapText="1"/>
    </xf>
    <xf numFmtId="4" fontId="10" fillId="0" borderId="23" xfId="0" applyNumberFormat="1" applyFont="1" applyBorder="1" applyAlignment="1">
      <alignment horizontal="right" vertical="center" wrapText="1"/>
    </xf>
    <xf numFmtId="0" fontId="10" fillId="0" borderId="23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horizontal="center" vertical="center" wrapText="1"/>
    </xf>
    <xf numFmtId="4" fontId="7" fillId="0" borderId="24" xfId="0" applyNumberFormat="1" applyFont="1" applyFill="1" applyBorder="1" applyAlignment="1">
      <alignment horizontal="right" vertical="center" wrapText="1"/>
    </xf>
    <xf numFmtId="4" fontId="7" fillId="0" borderId="17" xfId="0" applyNumberFormat="1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vertical="center" wrapText="1"/>
    </xf>
    <xf numFmtId="4" fontId="7" fillId="0" borderId="25" xfId="0" applyNumberFormat="1" applyFont="1" applyFill="1" applyBorder="1" applyAlignment="1">
      <alignment horizontal="right" vertical="center" wrapText="1"/>
    </xf>
    <xf numFmtId="43" fontId="8" fillId="0" borderId="0" xfId="0" applyNumberFormat="1" applyFont="1"/>
    <xf numFmtId="0" fontId="7" fillId="0" borderId="22" xfId="0" applyFont="1" applyFill="1" applyBorder="1" applyAlignment="1">
      <alignment vertical="center" wrapText="1"/>
    </xf>
    <xf numFmtId="4" fontId="7" fillId="0" borderId="23" xfId="0" applyNumberFormat="1" applyFont="1" applyFill="1" applyBorder="1" applyAlignment="1">
      <alignment horizontal="right" vertical="center" wrapText="1"/>
    </xf>
    <xf numFmtId="0" fontId="17" fillId="0" borderId="0" xfId="0" applyFont="1"/>
    <xf numFmtId="43" fontId="17" fillId="0" borderId="0" xfId="1" applyFont="1"/>
    <xf numFmtId="0" fontId="8" fillId="0" borderId="2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4" fontId="18" fillId="0" borderId="14" xfId="0" quotePrefix="1" applyNumberFormat="1" applyFont="1" applyFill="1" applyBorder="1" applyAlignment="1">
      <alignment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4" fontId="18" fillId="0" borderId="14" xfId="0" applyNumberFormat="1" applyFont="1" applyFill="1" applyBorder="1" applyAlignment="1">
      <alignment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4" fontId="18" fillId="0" borderId="14" xfId="0" applyNumberFormat="1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40" fontId="18" fillId="0" borderId="14" xfId="0" applyNumberFormat="1" applyFont="1" applyBorder="1" applyAlignment="1">
      <alignment vertical="center" wrapText="1"/>
    </xf>
    <xf numFmtId="0" fontId="17" fillId="6" borderId="26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6" borderId="18" xfId="0" applyFont="1" applyFill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4" fontId="19" fillId="6" borderId="14" xfId="0" applyNumberFormat="1" applyFont="1" applyFill="1" applyBorder="1" applyAlignment="1">
      <alignment vertical="center" wrapText="1"/>
    </xf>
    <xf numFmtId="0" fontId="17" fillId="6" borderId="15" xfId="0" applyFont="1" applyFill="1" applyBorder="1" applyAlignment="1">
      <alignment horizontal="left" vertical="center" wrapText="1"/>
    </xf>
    <xf numFmtId="0" fontId="17" fillId="6" borderId="16" xfId="0" applyFont="1" applyFill="1" applyBorder="1" applyAlignment="1">
      <alignment horizontal="left" vertical="center" wrapText="1"/>
    </xf>
    <xf numFmtId="0" fontId="17" fillId="6" borderId="17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center" vertical="center" wrapText="1"/>
    </xf>
    <xf numFmtId="4" fontId="19" fillId="6" borderId="9" xfId="0" applyNumberFormat="1" applyFont="1" applyFill="1" applyBorder="1" applyAlignment="1">
      <alignment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20" fillId="0" borderId="3" xfId="0" applyFont="1" applyBorder="1" applyAlignment="1">
      <alignment horizontal="center" wrapText="1"/>
    </xf>
    <xf numFmtId="0" fontId="8" fillId="0" borderId="28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2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3" fontId="8" fillId="0" borderId="0" xfId="1" applyFont="1" applyAlignment="1">
      <alignment vertical="top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9" fillId="5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wrapText="1"/>
    </xf>
    <xf numFmtId="0" fontId="8" fillId="0" borderId="28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35" xfId="0" applyFont="1" applyBorder="1" applyAlignment="1">
      <alignment wrapText="1"/>
    </xf>
    <xf numFmtId="0" fontId="8" fillId="0" borderId="36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43" fontId="8" fillId="0" borderId="0" xfId="0" applyNumberFormat="1" applyFont="1" applyAlignment="1">
      <alignment wrapText="1"/>
    </xf>
    <xf numFmtId="4" fontId="8" fillId="0" borderId="0" xfId="0" applyNumberFormat="1" applyFont="1" applyAlignment="1">
      <alignment wrapText="1"/>
    </xf>
    <xf numFmtId="4" fontId="8" fillId="0" borderId="0" xfId="0" applyNumberFormat="1" applyFont="1"/>
  </cellXfs>
  <cellStyles count="2">
    <cellStyle name="Comma" xfId="1" builtinId="3"/>
    <cellStyle name="Normal" xfId="0" builtinId="0"/>
  </cellStyles>
  <dxfs count="6">
    <dxf>
      <font>
        <color indexed="20"/>
      </font>
      <fill>
        <patternFill>
          <bgColor indexed="4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241399</xdr:colOff>
      <xdr:row>62</xdr:row>
      <xdr:rowOff>116417</xdr:rowOff>
    </xdr:from>
    <xdr:to>
      <xdr:col>8</xdr:col>
      <xdr:colOff>669868</xdr:colOff>
      <xdr:row>65</xdr:row>
      <xdr:rowOff>89819</xdr:rowOff>
    </xdr:to>
    <xdr:sp macro="" textlink="">
      <xdr:nvSpPr>
        <xdr:cNvPr id="2" name="Oval 1"/>
        <xdr:cNvSpPr/>
      </xdr:nvSpPr>
      <xdr:spPr>
        <a:xfrm>
          <a:off x="9668428" y="17745831"/>
          <a:ext cx="1478940" cy="561231"/>
        </a:xfrm>
        <a:prstGeom prst="ellipse">
          <a:avLst/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283029</xdr:colOff>
      <xdr:row>0</xdr:row>
      <xdr:rowOff>87086</xdr:rowOff>
    </xdr:from>
    <xdr:to>
      <xdr:col>6</xdr:col>
      <xdr:colOff>609600</xdr:colOff>
      <xdr:row>4</xdr:row>
      <xdr:rowOff>76200</xdr:rowOff>
    </xdr:to>
    <xdr:pic>
      <xdr:nvPicPr>
        <xdr:cNvPr id="3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886" y="87086"/>
          <a:ext cx="979714" cy="729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1157728</xdr:colOff>
      <xdr:row>4</xdr:row>
      <xdr:rowOff>95410</xdr:rowOff>
    </xdr:from>
    <xdr:to>
      <xdr:col>4</xdr:col>
      <xdr:colOff>1370337</xdr:colOff>
      <xdr:row>4</xdr:row>
      <xdr:rowOff>420380</xdr:rowOff>
    </xdr:to>
    <xdr:sp macro="" textlink="">
      <xdr:nvSpPr>
        <xdr:cNvPr id="31" name="Rounded Rectangle 30"/>
        <xdr:cNvSpPr/>
      </xdr:nvSpPr>
      <xdr:spPr>
        <a:xfrm>
          <a:off x="6268571" y="1782696"/>
          <a:ext cx="212609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1426349</xdr:colOff>
      <xdr:row>4</xdr:row>
      <xdr:rowOff>95410</xdr:rowOff>
    </xdr:from>
    <xdr:to>
      <xdr:col>4</xdr:col>
      <xdr:colOff>1644864</xdr:colOff>
      <xdr:row>4</xdr:row>
      <xdr:rowOff>420380</xdr:rowOff>
    </xdr:to>
    <xdr:sp macro="" textlink="">
      <xdr:nvSpPr>
        <xdr:cNvPr id="32" name="Rounded Rectangle 31"/>
        <xdr:cNvSpPr/>
      </xdr:nvSpPr>
      <xdr:spPr>
        <a:xfrm>
          <a:off x="6537192" y="1782696"/>
          <a:ext cx="218515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1707140</xdr:colOff>
      <xdr:row>4</xdr:row>
      <xdr:rowOff>90926</xdr:rowOff>
    </xdr:from>
    <xdr:to>
      <xdr:col>4</xdr:col>
      <xdr:colOff>1925655</xdr:colOff>
      <xdr:row>4</xdr:row>
      <xdr:rowOff>415896</xdr:rowOff>
    </xdr:to>
    <xdr:sp macro="" textlink="">
      <xdr:nvSpPr>
        <xdr:cNvPr id="33" name="Rounded Rectangle 32"/>
        <xdr:cNvSpPr/>
      </xdr:nvSpPr>
      <xdr:spPr>
        <a:xfrm>
          <a:off x="6817983" y="1778212"/>
          <a:ext cx="218515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1981204</xdr:colOff>
      <xdr:row>4</xdr:row>
      <xdr:rowOff>90926</xdr:rowOff>
    </xdr:from>
    <xdr:to>
      <xdr:col>4</xdr:col>
      <xdr:colOff>2193813</xdr:colOff>
      <xdr:row>4</xdr:row>
      <xdr:rowOff>415896</xdr:rowOff>
    </xdr:to>
    <xdr:sp macro="" textlink="">
      <xdr:nvSpPr>
        <xdr:cNvPr id="34" name="Rounded Rectangle 33"/>
        <xdr:cNvSpPr/>
      </xdr:nvSpPr>
      <xdr:spPr>
        <a:xfrm>
          <a:off x="7092047" y="1778212"/>
          <a:ext cx="212609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1337989</xdr:colOff>
      <xdr:row>4</xdr:row>
      <xdr:rowOff>90926</xdr:rowOff>
    </xdr:from>
    <xdr:to>
      <xdr:col>7</xdr:col>
      <xdr:colOff>175296</xdr:colOff>
      <xdr:row>4</xdr:row>
      <xdr:rowOff>421404</xdr:rowOff>
    </xdr:to>
    <xdr:sp macro="" textlink="">
      <xdr:nvSpPr>
        <xdr:cNvPr id="35" name="Rounded Rectangle 34"/>
        <xdr:cNvSpPr/>
      </xdr:nvSpPr>
      <xdr:spPr>
        <a:xfrm>
          <a:off x="9491389" y="1778212"/>
          <a:ext cx="219793" cy="330478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2529337</xdr:colOff>
      <xdr:row>4</xdr:row>
      <xdr:rowOff>90925</xdr:rowOff>
    </xdr:from>
    <xdr:to>
      <xdr:col>5</xdr:col>
      <xdr:colOff>123593</xdr:colOff>
      <xdr:row>4</xdr:row>
      <xdr:rowOff>421403</xdr:rowOff>
    </xdr:to>
    <xdr:sp macro="" textlink="">
      <xdr:nvSpPr>
        <xdr:cNvPr id="36" name="Rounded Rectangle 35"/>
        <xdr:cNvSpPr/>
      </xdr:nvSpPr>
      <xdr:spPr>
        <a:xfrm>
          <a:off x="7640180" y="1778211"/>
          <a:ext cx="212270" cy="330478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203640</xdr:colOff>
      <xdr:row>4</xdr:row>
      <xdr:rowOff>97648</xdr:rowOff>
    </xdr:from>
    <xdr:to>
      <xdr:col>6</xdr:col>
      <xdr:colOff>24946</xdr:colOff>
      <xdr:row>4</xdr:row>
      <xdr:rowOff>428126</xdr:rowOff>
    </xdr:to>
    <xdr:sp macro="" textlink="">
      <xdr:nvSpPr>
        <xdr:cNvPr id="37" name="Rounded Rectangle 36"/>
        <xdr:cNvSpPr/>
      </xdr:nvSpPr>
      <xdr:spPr>
        <a:xfrm>
          <a:off x="7932497" y="1784934"/>
          <a:ext cx="245849" cy="330478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606409</xdr:colOff>
      <xdr:row>4</xdr:row>
      <xdr:rowOff>97648</xdr:rowOff>
    </xdr:from>
    <xdr:to>
      <xdr:col>6</xdr:col>
      <xdr:colOff>824924</xdr:colOff>
      <xdr:row>4</xdr:row>
      <xdr:rowOff>422618</xdr:rowOff>
    </xdr:to>
    <xdr:sp macro="" textlink="">
      <xdr:nvSpPr>
        <xdr:cNvPr id="38" name="Rounded Rectangle 37"/>
        <xdr:cNvSpPr/>
      </xdr:nvSpPr>
      <xdr:spPr>
        <a:xfrm>
          <a:off x="8759809" y="1784934"/>
          <a:ext cx="218515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2255275</xdr:colOff>
      <xdr:row>4</xdr:row>
      <xdr:rowOff>90926</xdr:rowOff>
    </xdr:from>
    <xdr:to>
      <xdr:col>4</xdr:col>
      <xdr:colOff>2467884</xdr:colOff>
      <xdr:row>4</xdr:row>
      <xdr:rowOff>415896</xdr:rowOff>
    </xdr:to>
    <xdr:sp macro="" textlink="">
      <xdr:nvSpPr>
        <xdr:cNvPr id="39" name="Rounded Rectangle 38"/>
        <xdr:cNvSpPr/>
      </xdr:nvSpPr>
      <xdr:spPr>
        <a:xfrm>
          <a:off x="7366118" y="1778212"/>
          <a:ext cx="212609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1102987</xdr:colOff>
      <xdr:row>4</xdr:row>
      <xdr:rowOff>90926</xdr:rowOff>
    </xdr:from>
    <xdr:to>
      <xdr:col>6</xdr:col>
      <xdr:colOff>1315596</xdr:colOff>
      <xdr:row>4</xdr:row>
      <xdr:rowOff>415896</xdr:rowOff>
    </xdr:to>
    <xdr:sp macro="" textlink="">
      <xdr:nvSpPr>
        <xdr:cNvPr id="40" name="Rounded Rectangle 39"/>
        <xdr:cNvSpPr/>
      </xdr:nvSpPr>
      <xdr:spPr>
        <a:xfrm>
          <a:off x="9256387" y="1778212"/>
          <a:ext cx="212609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863506</xdr:colOff>
      <xdr:row>4</xdr:row>
      <xdr:rowOff>97648</xdr:rowOff>
    </xdr:from>
    <xdr:to>
      <xdr:col>6</xdr:col>
      <xdr:colOff>1076115</xdr:colOff>
      <xdr:row>4</xdr:row>
      <xdr:rowOff>422618</xdr:rowOff>
    </xdr:to>
    <xdr:sp macro="" textlink="">
      <xdr:nvSpPr>
        <xdr:cNvPr id="41" name="Rounded Rectangle 40"/>
        <xdr:cNvSpPr/>
      </xdr:nvSpPr>
      <xdr:spPr>
        <a:xfrm>
          <a:off x="9016906" y="1784934"/>
          <a:ext cx="212609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86139</xdr:colOff>
      <xdr:row>4</xdr:row>
      <xdr:rowOff>97648</xdr:rowOff>
    </xdr:from>
    <xdr:to>
      <xdr:col>6</xdr:col>
      <xdr:colOff>303769</xdr:colOff>
      <xdr:row>4</xdr:row>
      <xdr:rowOff>422618</xdr:rowOff>
    </xdr:to>
    <xdr:sp macro="" textlink="">
      <xdr:nvSpPr>
        <xdr:cNvPr id="42" name="Rounded Rectangle 41"/>
        <xdr:cNvSpPr/>
      </xdr:nvSpPr>
      <xdr:spPr>
        <a:xfrm>
          <a:off x="8239539" y="1784934"/>
          <a:ext cx="217630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360208</xdr:colOff>
      <xdr:row>4</xdr:row>
      <xdr:rowOff>97648</xdr:rowOff>
    </xdr:from>
    <xdr:to>
      <xdr:col>6</xdr:col>
      <xdr:colOff>578723</xdr:colOff>
      <xdr:row>4</xdr:row>
      <xdr:rowOff>422618</xdr:rowOff>
    </xdr:to>
    <xdr:sp macro="" textlink="">
      <xdr:nvSpPr>
        <xdr:cNvPr id="43" name="Rounded Rectangle 42"/>
        <xdr:cNvSpPr/>
      </xdr:nvSpPr>
      <xdr:spPr>
        <a:xfrm>
          <a:off x="8513608" y="1784934"/>
          <a:ext cx="218515" cy="324970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Data" displayName="Data" ref="A1:FX2" totalsRowShown="0" headerRowDxfId="5">
  <autoFilter ref="A1:FX2"/>
  <tableColumns count="180">
    <tableColumn id="1" name="AllowLineDisc"/>
    <tableColumn id="2" name="Amount"/>
    <tableColumn id="3" name="AmountIncludingVAT"/>
    <tableColumn id="4" name="AppliedCreditMemoNo"/>
    <tableColumn id="5" name="AppliestoDocNo"/>
    <tableColumn id="6" name="AppliestoDocType"/>
    <tableColumn id="7" name="BalAccountNo"/>
    <tableColumn id="8" name="BalAccountType"/>
    <tableColumn id="9" name="BankAccountNo"/>
    <tableColumn id="10" name="BilltoAddress"/>
    <tableColumn id="11" name="BilltoAddress2"/>
    <tableColumn id="12" name="BilltoCity"/>
    <tableColumn id="13" name="BilltoContact"/>
    <tableColumn id="14" name="BilltoContactNo"/>
    <tableColumn id="15" name="BilltoCountryRegionCode"/>
    <tableColumn id="16" name="BilltoCounty"/>
    <tableColumn id="17" name="BilltoCustomerNo"/>
    <tableColumn id="18" name="BilltoName"/>
    <tableColumn id="19" name="BilltoName2"/>
    <tableColumn id="20" name="BilltoPostCode"/>
    <tableColumn id="21" name="CFDICancellationID"/>
    <tableColumn id="22" name="CFDICancellationReasonCode"/>
    <tableColumn id="23" name="CFDIExportCode"/>
    <tableColumn id="24" name="CFDIPeriod"/>
    <tableColumn id="25" name="CFDIPurpose"/>
    <tableColumn id="26" name="CFDIRelation"/>
    <tableColumn id="27" name="CampaignNo"/>
    <tableColumn id="28" name="Cancelled"/>
    <tableColumn id="29" name="CashSale"/>
    <tableColumn id="30" name="CertificateSerialNo"/>
    <tableColumn id="31" name="Closed"/>
    <tableColumn id="32" name="Comment"/>
    <tableColumn id="33" name="CompanyBankAccountCode"/>
    <tableColumn id="34" name="Correction"/>
    <tableColumn id="35" name="Corrective"/>
    <tableColumn id="36" name="CoupledtoCRM"/>
    <tableColumn id="37" name="CoupledtoDataverse"/>
    <tableColumn id="38" name="CurrencyCode"/>
    <tableColumn id="39" name="CurrencyFactor"/>
    <tableColumn id="40" name="CustLedgerEntryNo"/>
    <tableColumn id="41" name="CustomerDiscGroup"/>
    <tableColumn id="42" name="CustomerPostingGroup"/>
    <tableColumn id="43" name="CustomerPriceGroup"/>
    <tableColumn id="44" name="DateTimeCancelSent"/>
    <tableColumn id="45" name="DateTimeCanceled"/>
    <tableColumn id="46" name="DateTimeFirstReqSent"/>
    <tableColumn id="47" name="DateTimeSent"/>
    <tableColumn id="48" name="DateTimeStampReceived"/>
    <tableColumn id="49" name="DateTimeStamped"/>
    <tableColumn id="50" name="DigitalStampPAC"/>
    <tableColumn id="51" name="DigitalStampSAT"/>
    <tableColumn id="52" name="DimensionSetID"/>
    <tableColumn id="53" name="DirectDebitMandateID"/>
    <tableColumn id="54" name="DisputeStatus"/>
    <tableColumn id="55" name="DisputeStatusId"/>
    <tableColumn id="56" name="DocExchOriginalIdentifier"/>
    <tableColumn id="57" name="DocumentDate"/>
    <tableColumn id="58" name="DocumentExchangeIdentifier"/>
    <tableColumn id="59" name="DocumentExchangeStatus"/>
    <tableColumn id="60" name="DraftInvoiceSystemId"/>
    <tableColumn id="61" name="DueDate"/>
    <tableColumn id="62" name="EU3PartyTrade"/>
    <tableColumn id="63" name="ElectronicDocumentSent"/>
    <tableColumn id="64" name="ElectronicDocumentStatus"/>
    <tableColumn id="65" name="ErrorCode"/>
    <tableColumn id="66" name="ErrorDescription"/>
    <tableColumn id="67" name="ExchangeRateUSD"/>
    <tableColumn id="68" name="ExitPoint"/>
    <tableColumn id="69" name="ExternalDocumentNo"/>
    <tableColumn id="70" name="FiscalInvoiceNumberPAC"/>
    <tableColumn id="71" name="ForeignTrade"/>
    <tableColumn id="72" name="FormatRegion"/>
    <tableColumn id="73" name="GenBusPostingGroup"/>
    <tableColumn id="74" name="GetShipmentUsed"/>
    <tableColumn id="75" name="InvoiceCleared"/>
    <tableColumn id="76" name="InvoiceDiscCode"/>
    <tableColumn id="77" name="InvoiceDiscountAmount"/>
    <tableColumn id="78" name="InvoiceDiscountCalculation"/>
    <tableColumn id="79" name="InvoiceDiscountValue"/>
    <tableColumn id="80" name="LanguageCode"/>
    <tableColumn id="81" name="LocationCode"/>
    <tableColumn id="82" name="MarkedasCanceled"/>
    <tableColumn id="83" name="No"/>
    <tableColumn id="84" name="NoPrinted"/>
    <tableColumn id="85" name="NoSeries"/>
    <tableColumn id="86" name="NoofEDocumentsSent"/>
    <tableColumn id="87" name="OnHold"/>
    <tableColumn id="88" name="OpportunityNo"/>
    <tableColumn id="89" name="OrderDate"/>
    <tableColumn id="90" name="OrderNo"/>
    <tableColumn id="91" name="OrderNoSeries"/>
    <tableColumn id="92" name="OriginalDocumentXML"/>
    <tableColumn id="93" name="OriginalString"/>
    <tableColumn id="94" name="PACWebServiceName"/>
    <tableColumn id="95" name="PackageTrackingNo"/>
    <tableColumn id="96" name="PayMode"/>
    <tableColumn id="97" name="PaymentDiscount"/>
    <tableColumn id="98" name="PaymentMethodCode"/>
    <tableColumn id="99" name="PaymentReference"/>
    <tableColumn id="100" name="PaymentServiceSetID"/>
    <tableColumn id="101" name="PaymentTermsCode"/>
    <tableColumn id="102" name="PmtDiscountDate"/>
    <tableColumn id="103" name="PostingDate"/>
    <tableColumn id="104" name="PostingDescription"/>
    <tableColumn id="105" name="PreAssignedNo"/>
    <tableColumn id="106" name="PreAssignedNoSeries"/>
    <tableColumn id="107" name="PreparedBy"/>
    <tableColumn id="108" name="PrepaymentInvoice"/>
    <tableColumn id="109" name="PrepaymentNoSeries"/>
    <tableColumn id="110" name="PrepaymentOrderNo"/>
    <tableColumn id="111" name="PriceCalculationMethod"/>
    <tableColumn id="112" name="PricesIncludingVAT"/>
    <tableColumn id="113" name="PromisedPayDate"/>
    <tableColumn id="114" name="QRCode"/>
    <tableColumn id="115" name="QuoteNo"/>
    <tableColumn id="116" name="ReasonCode"/>
    <tableColumn id="117" name="RegistrationNumber"/>
    <tableColumn id="118" name="RemainingAmount"/>
    <tableColumn id="119" name="ResponsibilityCenter"/>
    <tableColumn id="120" name="Reversed"/>
    <tableColumn id="121" name="SATAddressID"/>
    <tableColumn id="122" name="SATInternationalTradeTerm"/>
    <tableColumn id="123" name="STETransactionID"/>
    <tableColumn id="124" name="SalesPerson"/>
    <tableColumn id="125" name="SalespersonCode"/>
    <tableColumn id="126" name="SelltoAddress"/>
    <tableColumn id="127" name="SelltoAddress2"/>
    <tableColumn id="128" name="SelltoCity"/>
    <tableColumn id="129" name="SelltoContact"/>
    <tableColumn id="130" name="SelltoContactNo"/>
    <tableColumn id="131" name="SelltoCountryRegionCode"/>
    <tableColumn id="132" name="SelltoCounty"/>
    <tableColumn id="133" name="SelltoCustomerName"/>
    <tableColumn id="134" name="SelltoCustomerName2"/>
    <tableColumn id="135" name="SelltoCustomerNo"/>
    <tableColumn id="136" name="SelltoEMail"/>
    <tableColumn id="137" name="SelltoPhoneNo"/>
    <tableColumn id="138" name="SelltoPostCode"/>
    <tableColumn id="139" name="ShiftNo"/>
    <tableColumn id="140" name="ShiptoAddress"/>
    <tableColumn id="141" name="ShiptoAddress2"/>
    <tableColumn id="142" name="ShiptoCity"/>
    <tableColumn id="143" name="ShiptoCode"/>
    <tableColumn id="144" name="ShiptoContact"/>
    <tableColumn id="145" name="ShiptoCountryRegionCode"/>
    <tableColumn id="146" name="ShiptoCounty"/>
    <tableColumn id="147" name="ShiptoName"/>
    <tableColumn id="148" name="ShiptoName2"/>
    <tableColumn id="149" name="ShiptoPostCode"/>
    <tableColumn id="150" name="ShiptoUPSZone"/>
    <tableColumn id="151" name="ShipmentDate"/>
    <tableColumn id="152" name="ShipmentMethodCode"/>
    <tableColumn id="153" name="ShippingAgentCode"/>
    <tableColumn id="154" name="ShortcutDimension1Code"/>
    <tableColumn id="155" name="ShortcutDimension2Code"/>
    <tableColumn id="156" name="SignedDocumentXML"/>
    <tableColumn id="157" name="SourceCode"/>
    <tableColumn id="158" name="SubstitutionDocumentNo"/>
    <tableColumn id="159" name="SystemCreatedAt"/>
    <tableColumn id="160" name="SystemCreatedBy"/>
    <tableColumn id="161" name="SystemId"/>
    <tableColumn id="162" name="SystemModifiedAt"/>
    <tableColumn id="163" name="SystemModifiedBy"/>
    <tableColumn id="164" name="TaxAreaCode"/>
    <tableColumn id="165" name="TaxExemptionNo"/>
    <tableColumn id="166" name="TaxLiable"/>
    <tableColumn id="167" name="TotalAmount"/>
    <tableColumn id="168" name="TransactionNo"/>
    <tableColumn id="169" name="TransactionSpecification"/>
    <tableColumn id="170" name="TransactionType"/>
    <tableColumn id="171" name="TransittoLocation"/>
    <tableColumn id="172" name="TransportMethod"/>
    <tableColumn id="173" name="UserID"/>
    <tableColumn id="174" name="VATBaseDiscount"/>
    <tableColumn id="175" name="VATBusPostingGroup"/>
    <tableColumn id="176" name="VATCountryRegionCode"/>
    <tableColumn id="177" name="VATRegistrationNo"/>
    <tableColumn id="178" name="VATReportingDate"/>
    <tableColumn id="179" name="WorkDescription"/>
    <tableColumn id="180" name="YourRefere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ranslationData" displayName="TranslationData" ref="A1:C2" totalsRowShown="0">
  <autoFilter ref="A1:C2"/>
  <tableColumns count="3">
    <tableColumn id="1" name="CaptionKey"/>
    <tableColumn id="2" name="Language"/>
    <tableColumn id="3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aptionData" displayName="CaptionData" ref="A1:B2" totalsRowShown="0">
  <autoFilter ref="A1:B2"/>
  <tableColumns count="2">
    <tableColumn id="1" name="Caption"/>
    <tableColumn id="2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ReportMetadataValues" displayName="ReportMetadataValues" ref="A1:B11" totalsRowShown="0" headerRowDxfId="4">
  <autoFilter ref="A1:B11"/>
  <tableColumns count="2">
    <tableColumn id="1" name="Report Property"/>
    <tableColumn id="2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ReportRequestValues" displayName="ReportRequestValues" ref="D1:E17" totalsRowShown="0" headerRowDxfId="3">
  <autoFilter ref="D1:E17"/>
  <tableColumns count="2">
    <tableColumn id="1" name="Request Property"/>
    <tableColumn id="2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ReportRequestPageValues" displayName="ReportRequestPageValues" ref="G1:H2" totalsRowShown="0" headerRowDxfId="2">
  <autoFilter ref="G1:H2"/>
  <tableColumns count="2">
    <tableColumn id="1" name="Request Page Option"/>
    <tableColumn id="2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ReportFilterValues" displayName="ReportFilterValues" ref="J1:K2" totalsRowShown="0" headerRowDxfId="1">
  <autoFilter ref="J1:K2"/>
  <tableColumns count="2">
    <tableColumn id="1" name="Filter"/>
    <tableColumn id="2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opLeftCell="A52" workbookViewId="0">
      <selection sqref="A1:N66"/>
    </sheetView>
  </sheetViews>
  <sheetFormatPr defaultRowHeight="14.6" x14ac:dyDescent="0.4"/>
  <sheetData>
    <row r="1" spans="1:14" ht="15.45" x14ac:dyDescent="0.4">
      <c r="A1" s="6" t="s">
        <v>247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45" x14ac:dyDescent="0.4">
      <c r="A2" s="6" t="s">
        <v>248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.45" x14ac:dyDescent="0.4">
      <c r="A3" s="7"/>
      <c r="B3" s="8" t="s">
        <v>249</v>
      </c>
      <c r="C3" s="8"/>
      <c r="D3" s="9" t="s">
        <v>250</v>
      </c>
      <c r="E3" s="10"/>
      <c r="F3" s="10"/>
      <c r="G3" s="11" t="s">
        <v>251</v>
      </c>
      <c r="H3" s="11"/>
      <c r="I3" s="12" t="s">
        <v>252</v>
      </c>
      <c r="J3" s="13"/>
      <c r="K3" s="14"/>
      <c r="L3" s="15"/>
      <c r="M3" s="16"/>
      <c r="N3" s="17"/>
    </row>
    <row r="4" spans="1:14" ht="15.45" x14ac:dyDescent="0.4">
      <c r="A4" s="7"/>
      <c r="B4" s="8" t="s">
        <v>253</v>
      </c>
      <c r="C4" s="8"/>
      <c r="D4" s="18" t="s">
        <v>254</v>
      </c>
      <c r="E4" s="10"/>
      <c r="F4" s="10"/>
      <c r="G4" s="19" t="s">
        <v>255</v>
      </c>
      <c r="H4" s="19"/>
      <c r="I4" s="12" t="s">
        <v>256</v>
      </c>
      <c r="J4" s="13"/>
      <c r="K4" s="14"/>
      <c r="L4" s="15"/>
      <c r="M4" s="16"/>
      <c r="N4" s="17"/>
    </row>
    <row r="5" spans="1:14" ht="15.45" x14ac:dyDescent="0.4">
      <c r="A5" s="7"/>
      <c r="B5" s="8" t="s">
        <v>257</v>
      </c>
      <c r="C5" s="8"/>
      <c r="D5" s="18" t="s">
        <v>258</v>
      </c>
      <c r="E5" s="10"/>
      <c r="F5" s="10"/>
      <c r="G5" s="20"/>
      <c r="H5" s="20"/>
      <c r="I5" s="14"/>
      <c r="J5" s="13"/>
      <c r="K5" s="14"/>
      <c r="L5" s="15"/>
      <c r="M5" s="16"/>
      <c r="N5" s="17"/>
    </row>
    <row r="6" spans="1:14" ht="15.9" thickBot="1" x14ac:dyDescent="0.45">
      <c r="A6" s="7"/>
      <c r="B6" s="21" t="s">
        <v>259</v>
      </c>
      <c r="C6" s="21"/>
      <c r="D6" s="9" t="s">
        <v>260</v>
      </c>
      <c r="E6" s="9"/>
      <c r="F6" s="9"/>
      <c r="G6" s="22"/>
      <c r="H6" s="22"/>
      <c r="I6" s="9"/>
      <c r="J6" s="13"/>
      <c r="K6" s="14"/>
      <c r="L6" s="15"/>
      <c r="M6" s="16"/>
      <c r="N6" s="17"/>
    </row>
    <row r="7" spans="1:14" ht="15" x14ac:dyDescent="0.4">
      <c r="A7" s="23" t="s">
        <v>261</v>
      </c>
      <c r="B7" s="24" t="s">
        <v>262</v>
      </c>
      <c r="C7" s="25" t="s">
        <v>263</v>
      </c>
      <c r="D7" s="26" t="s">
        <v>264</v>
      </c>
      <c r="E7" s="27" t="s">
        <v>265</v>
      </c>
      <c r="F7" s="27"/>
      <c r="G7" s="27"/>
      <c r="H7" s="27"/>
      <c r="I7" s="27"/>
      <c r="J7" s="27"/>
      <c r="K7" s="27" t="s">
        <v>266</v>
      </c>
      <c r="L7" s="27"/>
      <c r="M7" s="27"/>
      <c r="N7" s="28" t="s">
        <v>267</v>
      </c>
    </row>
    <row r="8" spans="1:14" ht="45.45" thickBot="1" x14ac:dyDescent="0.45">
      <c r="A8" s="23"/>
      <c r="B8" s="29"/>
      <c r="C8" s="30"/>
      <c r="D8" s="31"/>
      <c r="E8" s="32" t="s">
        <v>268</v>
      </c>
      <c r="F8" s="32" t="s">
        <v>269</v>
      </c>
      <c r="G8" s="33" t="s">
        <v>270</v>
      </c>
      <c r="H8" s="33" t="s">
        <v>271</v>
      </c>
      <c r="I8" s="34" t="s">
        <v>272</v>
      </c>
      <c r="J8" s="34" t="s">
        <v>273</v>
      </c>
      <c r="K8" s="35" t="s">
        <v>274</v>
      </c>
      <c r="L8" s="36" t="s">
        <v>275</v>
      </c>
      <c r="M8" s="35" t="s">
        <v>276</v>
      </c>
      <c r="N8" s="37"/>
    </row>
    <row r="9" spans="1:14" ht="15.45" x14ac:dyDescent="0.4">
      <c r="A9" s="38"/>
      <c r="B9" s="39">
        <v>1</v>
      </c>
      <c r="C9" s="40"/>
      <c r="D9" s="41"/>
      <c r="E9" s="42"/>
      <c r="F9" s="41"/>
      <c r="G9" s="43"/>
      <c r="H9" s="43"/>
      <c r="I9" s="44">
        <f>H9*G9</f>
        <v>0</v>
      </c>
      <c r="J9" s="45">
        <f>I9*0.15</f>
        <v>0</v>
      </c>
      <c r="K9" s="41"/>
      <c r="L9" s="46"/>
      <c r="M9" s="47"/>
      <c r="N9" s="48"/>
    </row>
    <row r="10" spans="1:14" ht="15.45" x14ac:dyDescent="0.4">
      <c r="A10" s="38"/>
      <c r="B10" s="39">
        <v>2</v>
      </c>
      <c r="C10" s="40"/>
      <c r="D10" s="41"/>
      <c r="E10" s="42"/>
      <c r="F10" s="41"/>
      <c r="G10" s="43"/>
      <c r="H10" s="49"/>
      <c r="I10" s="44">
        <f t="shared" ref="I10:I61" si="0">H10*G10</f>
        <v>0</v>
      </c>
      <c r="J10" s="45">
        <f t="shared" ref="J10:J61" si="1">I10*0.15</f>
        <v>0</v>
      </c>
      <c r="K10" s="50"/>
      <c r="L10" s="46"/>
      <c r="M10" s="47"/>
      <c r="N10" s="48"/>
    </row>
    <row r="11" spans="1:14" ht="15.45" x14ac:dyDescent="0.4">
      <c r="A11" s="38"/>
      <c r="B11" s="39">
        <v>3</v>
      </c>
      <c r="C11" s="40"/>
      <c r="D11" s="41"/>
      <c r="E11" s="42"/>
      <c r="F11" s="41"/>
      <c r="G11" s="43"/>
      <c r="H11" s="51"/>
      <c r="I11" s="44">
        <f t="shared" si="0"/>
        <v>0</v>
      </c>
      <c r="J11" s="45">
        <f t="shared" si="1"/>
        <v>0</v>
      </c>
      <c r="K11" s="50"/>
      <c r="L11" s="46"/>
      <c r="M11" s="47"/>
      <c r="N11" s="52"/>
    </row>
    <row r="12" spans="1:14" ht="15.45" x14ac:dyDescent="0.4">
      <c r="A12" s="38"/>
      <c r="B12" s="39">
        <v>4</v>
      </c>
      <c r="C12" s="40"/>
      <c r="D12" s="41"/>
      <c r="E12" s="42"/>
      <c r="F12" s="41"/>
      <c r="G12" s="43"/>
      <c r="H12" s="49"/>
      <c r="I12" s="44">
        <f t="shared" si="0"/>
        <v>0</v>
      </c>
      <c r="J12" s="45">
        <f t="shared" si="1"/>
        <v>0</v>
      </c>
      <c r="K12" s="50"/>
      <c r="L12" s="46"/>
      <c r="M12" s="47"/>
      <c r="N12" s="52"/>
    </row>
    <row r="13" spans="1:14" ht="15.45" x14ac:dyDescent="0.4">
      <c r="A13" s="38"/>
      <c r="B13" s="39">
        <v>5</v>
      </c>
      <c r="C13" s="40"/>
      <c r="D13" s="41"/>
      <c r="E13" s="42"/>
      <c r="F13" s="41"/>
      <c r="G13" s="43"/>
      <c r="H13" s="49"/>
      <c r="I13" s="44">
        <f t="shared" si="0"/>
        <v>0</v>
      </c>
      <c r="J13" s="45">
        <f t="shared" si="1"/>
        <v>0</v>
      </c>
      <c r="K13" s="50"/>
      <c r="L13" s="46"/>
      <c r="M13" s="47"/>
      <c r="N13" s="52"/>
    </row>
    <row r="14" spans="1:14" ht="15.45" x14ac:dyDescent="0.4">
      <c r="A14" s="38"/>
      <c r="B14" s="39">
        <v>6</v>
      </c>
      <c r="C14" s="40"/>
      <c r="D14" s="41"/>
      <c r="E14" s="42"/>
      <c r="F14" s="41"/>
      <c r="G14" s="43"/>
      <c r="H14" s="49"/>
      <c r="I14" s="44">
        <f t="shared" si="0"/>
        <v>0</v>
      </c>
      <c r="J14" s="45">
        <f t="shared" si="1"/>
        <v>0</v>
      </c>
      <c r="K14" s="50"/>
      <c r="L14" s="53"/>
      <c r="M14" s="47"/>
      <c r="N14" s="52"/>
    </row>
    <row r="15" spans="1:14" ht="15.45" x14ac:dyDescent="0.4">
      <c r="A15" s="38"/>
      <c r="B15" s="39">
        <v>7</v>
      </c>
      <c r="C15" s="40"/>
      <c r="D15" s="41"/>
      <c r="E15" s="54"/>
      <c r="F15" s="41"/>
      <c r="G15" s="43"/>
      <c r="H15" s="49"/>
      <c r="I15" s="44">
        <f t="shared" si="0"/>
        <v>0</v>
      </c>
      <c r="J15" s="45">
        <f t="shared" si="1"/>
        <v>0</v>
      </c>
      <c r="K15" s="50"/>
      <c r="L15" s="53"/>
      <c r="M15" s="55"/>
      <c r="N15" s="52"/>
    </row>
    <row r="16" spans="1:14" ht="15.45" x14ac:dyDescent="0.4">
      <c r="A16" s="56"/>
      <c r="B16" s="39">
        <v>8</v>
      </c>
      <c r="C16" s="40"/>
      <c r="D16" s="41"/>
      <c r="E16" s="42"/>
      <c r="F16" s="41"/>
      <c r="G16" s="43"/>
      <c r="H16" s="49"/>
      <c r="I16" s="44">
        <f t="shared" si="0"/>
        <v>0</v>
      </c>
      <c r="J16" s="45">
        <f t="shared" si="1"/>
        <v>0</v>
      </c>
      <c r="K16" s="50"/>
      <c r="L16" s="53"/>
      <c r="M16" s="55"/>
      <c r="N16" s="52"/>
    </row>
    <row r="17" spans="1:14" ht="15.45" x14ac:dyDescent="0.4">
      <c r="A17" s="56"/>
      <c r="B17" s="39">
        <v>9</v>
      </c>
      <c r="C17" s="40"/>
      <c r="D17" s="41"/>
      <c r="E17" s="42"/>
      <c r="F17" s="41"/>
      <c r="G17" s="43"/>
      <c r="H17" s="49"/>
      <c r="I17" s="44">
        <f t="shared" si="0"/>
        <v>0</v>
      </c>
      <c r="J17" s="45">
        <f t="shared" si="1"/>
        <v>0</v>
      </c>
      <c r="K17" s="50"/>
      <c r="L17" s="53"/>
      <c r="M17" s="55"/>
      <c r="N17" s="52"/>
    </row>
    <row r="18" spans="1:14" ht="15.45" x14ac:dyDescent="0.4">
      <c r="A18" s="56"/>
      <c r="B18" s="39">
        <v>10</v>
      </c>
      <c r="C18" s="40"/>
      <c r="D18" s="41"/>
      <c r="E18" s="42"/>
      <c r="F18" s="41"/>
      <c r="G18" s="43"/>
      <c r="H18" s="49"/>
      <c r="I18" s="44">
        <f t="shared" si="0"/>
        <v>0</v>
      </c>
      <c r="J18" s="45">
        <f t="shared" si="1"/>
        <v>0</v>
      </c>
      <c r="K18" s="50"/>
      <c r="L18" s="53"/>
      <c r="M18" s="55"/>
      <c r="N18" s="52"/>
    </row>
    <row r="19" spans="1:14" ht="15.45" x14ac:dyDescent="0.4">
      <c r="A19" s="38"/>
      <c r="B19" s="39">
        <v>11</v>
      </c>
      <c r="C19" s="40"/>
      <c r="D19" s="41"/>
      <c r="E19" s="42"/>
      <c r="F19" s="41"/>
      <c r="G19" s="43"/>
      <c r="H19" s="49"/>
      <c r="I19" s="44">
        <f t="shared" si="0"/>
        <v>0</v>
      </c>
      <c r="J19" s="45">
        <f t="shared" si="1"/>
        <v>0</v>
      </c>
      <c r="K19" s="50"/>
      <c r="L19" s="53"/>
      <c r="M19" s="55"/>
      <c r="N19" s="52"/>
    </row>
    <row r="20" spans="1:14" ht="15.45" x14ac:dyDescent="0.4">
      <c r="A20" s="38"/>
      <c r="B20" s="39">
        <v>12</v>
      </c>
      <c r="C20" s="40"/>
      <c r="D20" s="41"/>
      <c r="E20" s="42"/>
      <c r="F20" s="41"/>
      <c r="G20" s="43"/>
      <c r="H20" s="49"/>
      <c r="I20" s="44">
        <f t="shared" si="0"/>
        <v>0</v>
      </c>
      <c r="J20" s="45">
        <f t="shared" si="1"/>
        <v>0</v>
      </c>
      <c r="K20" s="50"/>
      <c r="L20" s="53"/>
      <c r="M20" s="55"/>
      <c r="N20" s="52"/>
    </row>
    <row r="21" spans="1:14" ht="15.45" x14ac:dyDescent="0.4">
      <c r="A21" s="38"/>
      <c r="B21" s="39">
        <v>13</v>
      </c>
      <c r="C21" s="40"/>
      <c r="D21" s="41"/>
      <c r="E21" s="42"/>
      <c r="F21" s="41"/>
      <c r="G21" s="43"/>
      <c r="H21" s="49"/>
      <c r="I21" s="44">
        <f t="shared" si="0"/>
        <v>0</v>
      </c>
      <c r="J21" s="45">
        <f t="shared" si="1"/>
        <v>0</v>
      </c>
      <c r="K21" s="50"/>
      <c r="L21" s="53"/>
      <c r="M21" s="55"/>
      <c r="N21" s="52"/>
    </row>
    <row r="22" spans="1:14" ht="15.45" x14ac:dyDescent="0.4">
      <c r="A22" s="38"/>
      <c r="B22" s="39">
        <v>14</v>
      </c>
      <c r="C22" s="40"/>
      <c r="D22" s="41"/>
      <c r="E22" s="42"/>
      <c r="F22" s="41"/>
      <c r="G22" s="43"/>
      <c r="H22" s="49"/>
      <c r="I22" s="44">
        <f t="shared" si="0"/>
        <v>0</v>
      </c>
      <c r="J22" s="45">
        <f t="shared" si="1"/>
        <v>0</v>
      </c>
      <c r="K22" s="50"/>
      <c r="L22" s="53"/>
      <c r="M22" s="55"/>
      <c r="N22" s="52"/>
    </row>
    <row r="23" spans="1:14" ht="15.45" x14ac:dyDescent="0.4">
      <c r="A23" s="38"/>
      <c r="B23" s="39">
        <v>15</v>
      </c>
      <c r="C23" s="40"/>
      <c r="D23" s="41"/>
      <c r="E23" s="42"/>
      <c r="F23" s="41"/>
      <c r="G23" s="43"/>
      <c r="H23" s="49"/>
      <c r="I23" s="44">
        <f t="shared" si="0"/>
        <v>0</v>
      </c>
      <c r="J23" s="45">
        <f t="shared" si="1"/>
        <v>0</v>
      </c>
      <c r="K23" s="50"/>
      <c r="L23" s="53"/>
      <c r="M23" s="55"/>
      <c r="N23" s="52"/>
    </row>
    <row r="24" spans="1:14" ht="15.45" x14ac:dyDescent="0.4">
      <c r="A24" s="38"/>
      <c r="B24" s="39">
        <v>16</v>
      </c>
      <c r="C24" s="40"/>
      <c r="D24" s="41"/>
      <c r="E24" s="42"/>
      <c r="F24" s="41"/>
      <c r="G24" s="43"/>
      <c r="H24" s="49"/>
      <c r="I24" s="44">
        <f t="shared" si="0"/>
        <v>0</v>
      </c>
      <c r="J24" s="45">
        <f t="shared" si="1"/>
        <v>0</v>
      </c>
      <c r="K24" s="50"/>
      <c r="L24" s="53"/>
      <c r="M24" s="55"/>
      <c r="N24" s="52"/>
    </row>
    <row r="25" spans="1:14" ht="15.45" x14ac:dyDescent="0.4">
      <c r="A25" s="38"/>
      <c r="B25" s="39">
        <v>17</v>
      </c>
      <c r="C25" s="40"/>
      <c r="D25" s="41"/>
      <c r="E25" s="42"/>
      <c r="F25" s="41"/>
      <c r="G25" s="43"/>
      <c r="H25" s="49"/>
      <c r="I25" s="44">
        <f t="shared" si="0"/>
        <v>0</v>
      </c>
      <c r="J25" s="45">
        <f t="shared" si="1"/>
        <v>0</v>
      </c>
      <c r="K25" s="50"/>
      <c r="L25" s="53"/>
      <c r="M25" s="55"/>
      <c r="N25" s="52"/>
    </row>
    <row r="26" spans="1:14" ht="15.45" x14ac:dyDescent="0.4">
      <c r="A26" s="38"/>
      <c r="B26" s="39">
        <v>18</v>
      </c>
      <c r="C26" s="40"/>
      <c r="D26" s="41"/>
      <c r="E26" s="42"/>
      <c r="F26" s="41"/>
      <c r="G26" s="43"/>
      <c r="H26" s="49"/>
      <c r="I26" s="44">
        <f t="shared" si="0"/>
        <v>0</v>
      </c>
      <c r="J26" s="45">
        <f t="shared" si="1"/>
        <v>0</v>
      </c>
      <c r="K26" s="50"/>
      <c r="L26" s="53"/>
      <c r="M26" s="55"/>
      <c r="N26" s="52"/>
    </row>
    <row r="27" spans="1:14" ht="15.45" x14ac:dyDescent="0.4">
      <c r="A27" s="38"/>
      <c r="B27" s="39">
        <v>19</v>
      </c>
      <c r="C27" s="40"/>
      <c r="D27" s="41"/>
      <c r="E27" s="42"/>
      <c r="F27" s="41"/>
      <c r="G27" s="43"/>
      <c r="H27" s="49"/>
      <c r="I27" s="44">
        <f t="shared" si="0"/>
        <v>0</v>
      </c>
      <c r="J27" s="45">
        <f t="shared" si="1"/>
        <v>0</v>
      </c>
      <c r="K27" s="50"/>
      <c r="L27" s="53"/>
      <c r="M27" s="55"/>
      <c r="N27" s="52"/>
    </row>
    <row r="28" spans="1:14" ht="15.45" x14ac:dyDescent="0.4">
      <c r="A28" s="38"/>
      <c r="B28" s="39">
        <v>20</v>
      </c>
      <c r="C28" s="40"/>
      <c r="D28" s="41"/>
      <c r="E28" s="42"/>
      <c r="F28" s="41"/>
      <c r="G28" s="43"/>
      <c r="H28" s="49"/>
      <c r="I28" s="44">
        <f t="shared" si="0"/>
        <v>0</v>
      </c>
      <c r="J28" s="45">
        <f t="shared" si="1"/>
        <v>0</v>
      </c>
      <c r="K28" s="50"/>
      <c r="L28" s="53"/>
      <c r="M28" s="55"/>
      <c r="N28" s="52"/>
    </row>
    <row r="29" spans="1:14" ht="15.45" x14ac:dyDescent="0.4">
      <c r="A29" s="38"/>
      <c r="B29" s="39">
        <v>21</v>
      </c>
      <c r="C29" s="40"/>
      <c r="D29" s="41"/>
      <c r="E29" s="42"/>
      <c r="F29" s="41"/>
      <c r="G29" s="43"/>
      <c r="H29" s="49"/>
      <c r="I29" s="44">
        <f t="shared" si="0"/>
        <v>0</v>
      </c>
      <c r="J29" s="45">
        <f t="shared" si="1"/>
        <v>0</v>
      </c>
      <c r="K29" s="50"/>
      <c r="L29" s="53"/>
      <c r="M29" s="55"/>
      <c r="N29" s="52"/>
    </row>
    <row r="30" spans="1:14" ht="15.45" x14ac:dyDescent="0.4">
      <c r="A30" s="38"/>
      <c r="B30" s="39">
        <v>22</v>
      </c>
      <c r="C30" s="40"/>
      <c r="D30" s="41"/>
      <c r="E30" s="42"/>
      <c r="F30" s="41"/>
      <c r="G30" s="43"/>
      <c r="H30" s="49"/>
      <c r="I30" s="44">
        <f t="shared" si="0"/>
        <v>0</v>
      </c>
      <c r="J30" s="45">
        <f t="shared" si="1"/>
        <v>0</v>
      </c>
      <c r="K30" s="50"/>
      <c r="L30" s="53"/>
      <c r="M30" s="55"/>
      <c r="N30" s="52"/>
    </row>
    <row r="31" spans="1:14" ht="15.45" x14ac:dyDescent="0.4">
      <c r="A31" s="38"/>
      <c r="B31" s="39">
        <v>23</v>
      </c>
      <c r="C31" s="40"/>
      <c r="D31" s="50"/>
      <c r="E31" s="42"/>
      <c r="F31" s="41"/>
      <c r="G31" s="43"/>
      <c r="H31" s="49"/>
      <c r="I31" s="44">
        <f t="shared" si="0"/>
        <v>0</v>
      </c>
      <c r="J31" s="45">
        <f t="shared" si="1"/>
        <v>0</v>
      </c>
      <c r="K31" s="50"/>
      <c r="L31" s="53"/>
      <c r="M31" s="55"/>
      <c r="N31" s="52"/>
    </row>
    <row r="32" spans="1:14" ht="15.45" x14ac:dyDescent="0.4">
      <c r="A32" s="38"/>
      <c r="B32" s="39">
        <v>24</v>
      </c>
      <c r="C32" s="40"/>
      <c r="D32" s="50"/>
      <c r="E32" s="42"/>
      <c r="F32" s="41"/>
      <c r="G32" s="43"/>
      <c r="H32" s="49"/>
      <c r="I32" s="44">
        <f t="shared" si="0"/>
        <v>0</v>
      </c>
      <c r="J32" s="45">
        <f t="shared" si="1"/>
        <v>0</v>
      </c>
      <c r="K32" s="50"/>
      <c r="L32" s="53"/>
      <c r="M32" s="55"/>
      <c r="N32" s="52"/>
    </row>
    <row r="33" spans="1:14" ht="15.45" x14ac:dyDescent="0.4">
      <c r="A33" s="38"/>
      <c r="B33" s="39">
        <v>25</v>
      </c>
      <c r="C33" s="40"/>
      <c r="D33" s="50"/>
      <c r="E33" s="42"/>
      <c r="F33" s="41"/>
      <c r="G33" s="43"/>
      <c r="H33" s="49"/>
      <c r="I33" s="44">
        <f t="shared" si="0"/>
        <v>0</v>
      </c>
      <c r="J33" s="45">
        <f t="shared" si="1"/>
        <v>0</v>
      </c>
      <c r="K33" s="50"/>
      <c r="L33" s="53"/>
      <c r="M33" s="47"/>
      <c r="N33" s="52"/>
    </row>
    <row r="34" spans="1:14" ht="15.45" x14ac:dyDescent="0.4">
      <c r="A34" s="38"/>
      <c r="B34" s="39">
        <v>26</v>
      </c>
      <c r="C34" s="40"/>
      <c r="D34" s="41"/>
      <c r="E34" s="42"/>
      <c r="F34" s="41"/>
      <c r="G34" s="43"/>
      <c r="H34" s="49"/>
      <c r="I34" s="44">
        <f t="shared" si="0"/>
        <v>0</v>
      </c>
      <c r="J34" s="45">
        <f t="shared" si="1"/>
        <v>0</v>
      </c>
      <c r="K34" s="50"/>
      <c r="L34" s="53"/>
      <c r="M34" s="47"/>
      <c r="N34" s="52"/>
    </row>
    <row r="35" spans="1:14" ht="15.45" x14ac:dyDescent="0.4">
      <c r="A35" s="38"/>
      <c r="B35" s="39">
        <v>27</v>
      </c>
      <c r="C35" s="40"/>
      <c r="D35" s="41"/>
      <c r="E35" s="54"/>
      <c r="F35" s="41"/>
      <c r="G35" s="43"/>
      <c r="H35" s="49"/>
      <c r="I35" s="44">
        <f t="shared" si="0"/>
        <v>0</v>
      </c>
      <c r="J35" s="45">
        <f t="shared" si="1"/>
        <v>0</v>
      </c>
      <c r="K35" s="50"/>
      <c r="L35" s="53"/>
      <c r="M35" s="47"/>
      <c r="N35" s="52"/>
    </row>
    <row r="36" spans="1:14" ht="15.45" x14ac:dyDescent="0.4">
      <c r="A36" s="38"/>
      <c r="B36" s="39">
        <v>28</v>
      </c>
      <c r="C36" s="40"/>
      <c r="D36" s="41"/>
      <c r="E36" s="54"/>
      <c r="F36" s="41"/>
      <c r="G36" s="43"/>
      <c r="H36" s="49"/>
      <c r="I36" s="44">
        <f t="shared" si="0"/>
        <v>0</v>
      </c>
      <c r="J36" s="45">
        <f t="shared" si="1"/>
        <v>0</v>
      </c>
      <c r="K36" s="50"/>
      <c r="L36" s="53"/>
      <c r="M36" s="55"/>
      <c r="N36" s="52"/>
    </row>
    <row r="37" spans="1:14" ht="15.45" x14ac:dyDescent="0.4">
      <c r="A37" s="38"/>
      <c r="B37" s="39">
        <v>29</v>
      </c>
      <c r="C37" s="40"/>
      <c r="D37" s="41"/>
      <c r="E37" s="54"/>
      <c r="F37" s="41"/>
      <c r="G37" s="43"/>
      <c r="H37" s="49"/>
      <c r="I37" s="44">
        <f t="shared" si="0"/>
        <v>0</v>
      </c>
      <c r="J37" s="45">
        <f t="shared" si="1"/>
        <v>0</v>
      </c>
      <c r="K37" s="50"/>
      <c r="L37" s="53"/>
      <c r="M37" s="55"/>
      <c r="N37" s="52"/>
    </row>
    <row r="38" spans="1:14" ht="15.45" x14ac:dyDescent="0.4">
      <c r="A38" s="38"/>
      <c r="B38" s="39">
        <v>30</v>
      </c>
      <c r="C38" s="57"/>
      <c r="D38" s="41"/>
      <c r="E38" s="54"/>
      <c r="F38" s="41"/>
      <c r="G38" s="43"/>
      <c r="H38" s="49"/>
      <c r="I38" s="44">
        <f t="shared" si="0"/>
        <v>0</v>
      </c>
      <c r="J38" s="45">
        <f t="shared" si="1"/>
        <v>0</v>
      </c>
      <c r="K38" s="50"/>
      <c r="L38" s="53"/>
      <c r="M38" s="55"/>
      <c r="N38" s="52"/>
    </row>
    <row r="39" spans="1:14" ht="15.45" x14ac:dyDescent="0.4">
      <c r="A39" s="38"/>
      <c r="B39" s="39">
        <v>31</v>
      </c>
      <c r="C39" s="57"/>
      <c r="D39" s="41"/>
      <c r="E39" s="54"/>
      <c r="F39" s="41"/>
      <c r="G39" s="43"/>
      <c r="H39" s="49"/>
      <c r="I39" s="44">
        <f>H39*G39</f>
        <v>0</v>
      </c>
      <c r="J39" s="45">
        <f t="shared" si="1"/>
        <v>0</v>
      </c>
      <c r="K39" s="50"/>
      <c r="L39" s="53"/>
      <c r="M39" s="55"/>
      <c r="N39" s="52"/>
    </row>
    <row r="40" spans="1:14" ht="15.45" x14ac:dyDescent="0.4">
      <c r="A40" s="38"/>
      <c r="B40" s="39">
        <v>32</v>
      </c>
      <c r="C40" s="57"/>
      <c r="D40" s="41"/>
      <c r="E40" s="54"/>
      <c r="F40" s="41"/>
      <c r="G40" s="43"/>
      <c r="H40" s="49"/>
      <c r="I40" s="44">
        <f>H40*G40</f>
        <v>0</v>
      </c>
      <c r="J40" s="45">
        <f t="shared" si="1"/>
        <v>0</v>
      </c>
      <c r="K40" s="50"/>
      <c r="L40" s="53"/>
      <c r="M40" s="55"/>
      <c r="N40" s="52"/>
    </row>
    <row r="41" spans="1:14" ht="15.45" x14ac:dyDescent="0.4">
      <c r="A41" s="38"/>
      <c r="B41" s="39">
        <v>33</v>
      </c>
      <c r="C41" s="57"/>
      <c r="D41" s="41"/>
      <c r="E41" s="54"/>
      <c r="F41" s="41"/>
      <c r="G41" s="43"/>
      <c r="H41" s="49"/>
      <c r="I41" s="44">
        <f>H41*G41</f>
        <v>0</v>
      </c>
      <c r="J41" s="45">
        <f t="shared" si="1"/>
        <v>0</v>
      </c>
      <c r="K41" s="50"/>
      <c r="L41" s="53"/>
      <c r="M41" s="55"/>
      <c r="N41" s="52"/>
    </row>
    <row r="42" spans="1:14" ht="15.45" x14ac:dyDescent="0.4">
      <c r="A42" s="38"/>
      <c r="B42" s="39">
        <v>34</v>
      </c>
      <c r="C42" s="57"/>
      <c r="D42" s="41"/>
      <c r="E42" s="54"/>
      <c r="F42" s="41"/>
      <c r="G42" s="43"/>
      <c r="H42" s="49"/>
      <c r="I42" s="44">
        <f>H42*G42</f>
        <v>0</v>
      </c>
      <c r="J42" s="45">
        <f t="shared" si="1"/>
        <v>0</v>
      </c>
      <c r="K42" s="50"/>
      <c r="L42" s="53"/>
      <c r="M42" s="55"/>
      <c r="N42" s="52"/>
    </row>
    <row r="43" spans="1:14" ht="15.45" x14ac:dyDescent="0.4">
      <c r="A43" s="38"/>
      <c r="B43" s="39">
        <v>35</v>
      </c>
      <c r="C43" s="57"/>
      <c r="D43" s="41"/>
      <c r="E43" s="42"/>
      <c r="F43" s="41"/>
      <c r="G43" s="43"/>
      <c r="H43" s="49"/>
      <c r="I43" s="44">
        <f>H43*G43</f>
        <v>0</v>
      </c>
      <c r="J43" s="45">
        <f t="shared" si="1"/>
        <v>0</v>
      </c>
      <c r="K43" s="50"/>
      <c r="L43" s="53"/>
      <c r="M43" s="55"/>
      <c r="N43" s="52"/>
    </row>
    <row r="44" spans="1:14" ht="15.45" x14ac:dyDescent="0.4">
      <c r="A44" s="38"/>
      <c r="B44" s="39">
        <v>36</v>
      </c>
      <c r="C44" s="57"/>
      <c r="D44" s="41"/>
      <c r="E44" s="42"/>
      <c r="F44" s="41"/>
      <c r="G44" s="43"/>
      <c r="H44" s="49"/>
      <c r="I44" s="44">
        <f t="shared" si="0"/>
        <v>0</v>
      </c>
      <c r="J44" s="45">
        <f t="shared" si="1"/>
        <v>0</v>
      </c>
      <c r="K44" s="50"/>
      <c r="L44" s="53"/>
      <c r="M44" s="55"/>
      <c r="N44" s="52"/>
    </row>
    <row r="45" spans="1:14" ht="15.45" x14ac:dyDescent="0.4">
      <c r="A45" s="38"/>
      <c r="B45" s="39">
        <v>37</v>
      </c>
      <c r="C45" s="57"/>
      <c r="D45" s="41"/>
      <c r="E45" s="54"/>
      <c r="F45" s="41"/>
      <c r="G45" s="43"/>
      <c r="H45" s="49"/>
      <c r="I45" s="44">
        <f t="shared" si="0"/>
        <v>0</v>
      </c>
      <c r="J45" s="45">
        <f t="shared" si="1"/>
        <v>0</v>
      </c>
      <c r="K45" s="50"/>
      <c r="L45" s="53"/>
      <c r="M45" s="55"/>
      <c r="N45" s="52"/>
    </row>
    <row r="46" spans="1:14" ht="15.45" x14ac:dyDescent="0.4">
      <c r="A46" s="38"/>
      <c r="B46" s="39">
        <v>38</v>
      </c>
      <c r="C46" s="57"/>
      <c r="D46" s="41"/>
      <c r="E46" s="54"/>
      <c r="F46" s="41"/>
      <c r="G46" s="43"/>
      <c r="H46" s="49"/>
      <c r="I46" s="44">
        <f t="shared" si="0"/>
        <v>0</v>
      </c>
      <c r="J46" s="45">
        <f t="shared" si="1"/>
        <v>0</v>
      </c>
      <c r="K46" s="50"/>
      <c r="L46" s="53"/>
      <c r="M46" s="55"/>
      <c r="N46" s="52"/>
    </row>
    <row r="47" spans="1:14" ht="15.45" x14ac:dyDescent="0.4">
      <c r="A47" s="38"/>
      <c r="B47" s="39">
        <v>39</v>
      </c>
      <c r="C47" s="57"/>
      <c r="D47" s="41"/>
      <c r="E47" s="42"/>
      <c r="F47" s="41"/>
      <c r="G47" s="43"/>
      <c r="H47" s="49"/>
      <c r="I47" s="44">
        <f t="shared" si="0"/>
        <v>0</v>
      </c>
      <c r="J47" s="45">
        <f t="shared" si="1"/>
        <v>0</v>
      </c>
      <c r="K47" s="50"/>
      <c r="L47" s="53"/>
      <c r="M47" s="55"/>
      <c r="N47" s="52"/>
    </row>
    <row r="48" spans="1:14" ht="15.45" x14ac:dyDescent="0.4">
      <c r="A48" s="38"/>
      <c r="B48" s="39">
        <v>40</v>
      </c>
      <c r="C48" s="57"/>
      <c r="D48" s="41"/>
      <c r="E48" s="42"/>
      <c r="F48" s="41"/>
      <c r="G48" s="43"/>
      <c r="H48" s="49"/>
      <c r="I48" s="44">
        <f t="shared" si="0"/>
        <v>0</v>
      </c>
      <c r="J48" s="45">
        <f t="shared" si="1"/>
        <v>0</v>
      </c>
      <c r="K48" s="50"/>
      <c r="L48" s="53"/>
      <c r="M48" s="55"/>
      <c r="N48" s="52"/>
    </row>
    <row r="49" spans="1:14" ht="15.45" x14ac:dyDescent="0.4">
      <c r="A49" s="38"/>
      <c r="B49" s="39">
        <v>41</v>
      </c>
      <c r="C49" s="57"/>
      <c r="D49" s="41"/>
      <c r="E49" s="42"/>
      <c r="F49" s="41"/>
      <c r="G49" s="43"/>
      <c r="H49" s="49"/>
      <c r="I49" s="44">
        <f t="shared" si="0"/>
        <v>0</v>
      </c>
      <c r="J49" s="45">
        <f t="shared" si="1"/>
        <v>0</v>
      </c>
      <c r="K49" s="50"/>
      <c r="L49" s="53"/>
      <c r="M49" s="55"/>
      <c r="N49" s="52"/>
    </row>
    <row r="50" spans="1:14" ht="15.45" x14ac:dyDescent="0.4">
      <c r="A50" s="38"/>
      <c r="B50" s="39">
        <v>42</v>
      </c>
      <c r="C50" s="57"/>
      <c r="D50" s="41"/>
      <c r="E50" s="42"/>
      <c r="F50" s="41"/>
      <c r="G50" s="43"/>
      <c r="H50" s="49"/>
      <c r="I50" s="44">
        <f t="shared" si="0"/>
        <v>0</v>
      </c>
      <c r="J50" s="45">
        <f t="shared" si="1"/>
        <v>0</v>
      </c>
      <c r="K50" s="50"/>
      <c r="L50" s="53"/>
      <c r="M50" s="55"/>
      <c r="N50" s="52"/>
    </row>
    <row r="51" spans="1:14" ht="15.45" x14ac:dyDescent="0.4">
      <c r="A51" s="38"/>
      <c r="B51" s="39">
        <v>43</v>
      </c>
      <c r="C51" s="57"/>
      <c r="D51" s="41"/>
      <c r="E51" s="42"/>
      <c r="F51" s="41"/>
      <c r="G51" s="43"/>
      <c r="H51" s="49"/>
      <c r="I51" s="44">
        <f t="shared" si="0"/>
        <v>0</v>
      </c>
      <c r="J51" s="45">
        <f t="shared" si="1"/>
        <v>0</v>
      </c>
      <c r="K51" s="50"/>
      <c r="L51" s="53"/>
      <c r="M51" s="55"/>
      <c r="N51" s="52"/>
    </row>
    <row r="52" spans="1:14" ht="15.45" x14ac:dyDescent="0.4">
      <c r="A52" s="38"/>
      <c r="B52" s="39">
        <v>44</v>
      </c>
      <c r="C52" s="57"/>
      <c r="D52" s="41"/>
      <c r="E52" s="42"/>
      <c r="F52" s="41"/>
      <c r="G52" s="43"/>
      <c r="H52" s="49"/>
      <c r="I52" s="44">
        <f t="shared" si="0"/>
        <v>0</v>
      </c>
      <c r="J52" s="45">
        <f t="shared" si="1"/>
        <v>0</v>
      </c>
      <c r="K52" s="50"/>
      <c r="L52" s="53"/>
      <c r="M52" s="55"/>
      <c r="N52" s="52"/>
    </row>
    <row r="53" spans="1:14" ht="15.45" x14ac:dyDescent="0.4">
      <c r="A53" s="38"/>
      <c r="B53" s="39">
        <v>45</v>
      </c>
      <c r="C53" s="57"/>
      <c r="D53" s="41"/>
      <c r="E53" s="42"/>
      <c r="F53" s="41"/>
      <c r="G53" s="43"/>
      <c r="H53" s="49"/>
      <c r="I53" s="44">
        <f t="shared" si="0"/>
        <v>0</v>
      </c>
      <c r="J53" s="45">
        <f t="shared" si="1"/>
        <v>0</v>
      </c>
      <c r="K53" s="50"/>
      <c r="L53" s="53"/>
      <c r="M53" s="55"/>
      <c r="N53" s="52"/>
    </row>
    <row r="54" spans="1:14" ht="15.45" x14ac:dyDescent="0.4">
      <c r="A54" s="38"/>
      <c r="B54" s="39">
        <v>46</v>
      </c>
      <c r="C54" s="57"/>
      <c r="D54" s="41"/>
      <c r="E54" s="42"/>
      <c r="F54" s="41"/>
      <c r="G54" s="43"/>
      <c r="H54" s="49"/>
      <c r="I54" s="44">
        <f t="shared" si="0"/>
        <v>0</v>
      </c>
      <c r="J54" s="45">
        <f t="shared" si="1"/>
        <v>0</v>
      </c>
      <c r="K54" s="50"/>
      <c r="L54" s="53"/>
      <c r="M54" s="55"/>
      <c r="N54" s="52"/>
    </row>
    <row r="55" spans="1:14" ht="15.45" x14ac:dyDescent="0.4">
      <c r="A55" s="38"/>
      <c r="B55" s="39">
        <v>47</v>
      </c>
      <c r="C55" s="57"/>
      <c r="D55" s="41"/>
      <c r="E55" s="42"/>
      <c r="F55" s="41"/>
      <c r="G55" s="43"/>
      <c r="H55" s="49"/>
      <c r="I55" s="44">
        <f t="shared" si="0"/>
        <v>0</v>
      </c>
      <c r="J55" s="45">
        <f t="shared" si="1"/>
        <v>0</v>
      </c>
      <c r="K55" s="50"/>
      <c r="L55" s="53"/>
      <c r="M55" s="55"/>
      <c r="N55" s="52"/>
    </row>
    <row r="56" spans="1:14" ht="15.45" x14ac:dyDescent="0.4">
      <c r="A56" s="38"/>
      <c r="B56" s="39">
        <v>48</v>
      </c>
      <c r="C56" s="57"/>
      <c r="D56" s="41"/>
      <c r="E56" s="42"/>
      <c r="F56" s="41"/>
      <c r="G56" s="43"/>
      <c r="H56" s="49"/>
      <c r="I56" s="44">
        <f t="shared" si="0"/>
        <v>0</v>
      </c>
      <c r="J56" s="45">
        <f t="shared" si="1"/>
        <v>0</v>
      </c>
      <c r="K56" s="50"/>
      <c r="L56" s="53"/>
      <c r="M56" s="55"/>
      <c r="N56" s="52"/>
    </row>
    <row r="57" spans="1:14" ht="15.45" x14ac:dyDescent="0.4">
      <c r="A57" s="38"/>
      <c r="B57" s="39">
        <v>49</v>
      </c>
      <c r="C57" s="57"/>
      <c r="D57" s="41"/>
      <c r="E57" s="54"/>
      <c r="F57" s="41"/>
      <c r="G57" s="43"/>
      <c r="H57" s="49"/>
      <c r="I57" s="44">
        <f t="shared" si="0"/>
        <v>0</v>
      </c>
      <c r="J57" s="45">
        <f t="shared" si="1"/>
        <v>0</v>
      </c>
      <c r="K57" s="50"/>
      <c r="L57" s="53"/>
      <c r="M57" s="55"/>
      <c r="N57" s="52"/>
    </row>
    <row r="58" spans="1:14" ht="15.45" x14ac:dyDescent="0.4">
      <c r="A58" s="38"/>
      <c r="B58" s="39">
        <v>50</v>
      </c>
      <c r="C58" s="57"/>
      <c r="D58" s="41"/>
      <c r="E58" s="54"/>
      <c r="F58" s="41"/>
      <c r="G58" s="43"/>
      <c r="H58" s="49"/>
      <c r="I58" s="44">
        <f t="shared" si="0"/>
        <v>0</v>
      </c>
      <c r="J58" s="45">
        <f t="shared" si="1"/>
        <v>0</v>
      </c>
      <c r="K58" s="50"/>
      <c r="L58" s="53"/>
      <c r="M58" s="55"/>
      <c r="N58" s="52"/>
    </row>
    <row r="59" spans="1:14" ht="15.45" x14ac:dyDescent="0.4">
      <c r="A59" s="38"/>
      <c r="B59" s="39">
        <v>51</v>
      </c>
      <c r="C59" s="57"/>
      <c r="D59" s="41"/>
      <c r="E59" s="42"/>
      <c r="F59" s="41"/>
      <c r="G59" s="43"/>
      <c r="H59" s="49"/>
      <c r="I59" s="44">
        <f t="shared" si="0"/>
        <v>0</v>
      </c>
      <c r="J59" s="45">
        <f t="shared" si="1"/>
        <v>0</v>
      </c>
      <c r="K59" s="50"/>
      <c r="L59" s="53"/>
      <c r="M59" s="55"/>
      <c r="N59" s="52"/>
    </row>
    <row r="60" spans="1:14" ht="15.45" x14ac:dyDescent="0.4">
      <c r="A60" s="38"/>
      <c r="B60" s="39">
        <v>52</v>
      </c>
      <c r="C60" s="57"/>
      <c r="D60" s="41"/>
      <c r="E60" s="42"/>
      <c r="F60" s="41"/>
      <c r="G60" s="43"/>
      <c r="H60" s="49"/>
      <c r="I60" s="44">
        <f t="shared" si="0"/>
        <v>0</v>
      </c>
      <c r="J60" s="45">
        <f t="shared" si="1"/>
        <v>0</v>
      </c>
      <c r="K60" s="50"/>
      <c r="L60" s="53"/>
      <c r="M60" s="55"/>
      <c r="N60" s="52"/>
    </row>
    <row r="61" spans="1:14" ht="15.45" x14ac:dyDescent="0.4">
      <c r="A61" s="38"/>
      <c r="B61" s="39">
        <v>53</v>
      </c>
      <c r="C61" s="57"/>
      <c r="D61" s="41"/>
      <c r="E61" s="42"/>
      <c r="F61" s="41"/>
      <c r="G61" s="43"/>
      <c r="H61" s="49"/>
      <c r="I61" s="44">
        <f t="shared" si="0"/>
        <v>0</v>
      </c>
      <c r="J61" s="45">
        <f t="shared" si="1"/>
        <v>0</v>
      </c>
      <c r="K61" s="50"/>
      <c r="L61" s="53"/>
      <c r="M61" s="55"/>
      <c r="N61" s="52"/>
    </row>
    <row r="62" spans="1:14" ht="15.9" thickBot="1" x14ac:dyDescent="0.45">
      <c r="A62" s="58"/>
      <c r="B62" s="59" t="s">
        <v>277</v>
      </c>
      <c r="C62" s="60"/>
      <c r="D62" s="60"/>
      <c r="E62" s="60"/>
      <c r="F62" s="60"/>
      <c r="G62" s="60"/>
      <c r="H62" s="61"/>
      <c r="I62" s="62">
        <f>SUM(I9:I61)</f>
        <v>0</v>
      </c>
      <c r="J62" s="62">
        <f>SUM(J9:J61)</f>
        <v>0</v>
      </c>
      <c r="K62" s="63"/>
      <c r="L62" s="53"/>
      <c r="M62" s="64"/>
      <c r="N62" s="65"/>
    </row>
    <row r="63" spans="1:14" ht="15.45" x14ac:dyDescent="0.4">
      <c r="A63" s="7"/>
      <c r="B63" s="14"/>
      <c r="C63" s="66" t="s">
        <v>278</v>
      </c>
      <c r="D63" s="14"/>
      <c r="E63" s="14"/>
      <c r="F63" s="67" t="s">
        <v>279</v>
      </c>
      <c r="G63" s="13"/>
      <c r="H63" s="13"/>
      <c r="I63" s="68"/>
      <c r="J63" s="69"/>
      <c r="K63" s="70" t="s">
        <v>280</v>
      </c>
      <c r="L63" s="15"/>
      <c r="M63" s="16"/>
      <c r="N63" s="17"/>
    </row>
    <row r="64" spans="1:14" ht="15.45" x14ac:dyDescent="0.4">
      <c r="A64" s="7"/>
      <c r="B64" s="14"/>
      <c r="C64" s="71" t="s">
        <v>281</v>
      </c>
      <c r="D64" s="14"/>
      <c r="E64" s="14"/>
      <c r="F64" s="14"/>
      <c r="G64" s="13"/>
      <c r="H64" s="13"/>
      <c r="I64" s="14"/>
      <c r="J64" s="13"/>
      <c r="K64" s="72" t="s">
        <v>282</v>
      </c>
      <c r="L64" s="73"/>
      <c r="M64" s="16"/>
      <c r="N64" s="17"/>
    </row>
    <row r="65" spans="1:14" ht="15.45" x14ac:dyDescent="0.4">
      <c r="A65" s="7"/>
      <c r="B65" s="14"/>
      <c r="C65" s="71" t="s">
        <v>283</v>
      </c>
      <c r="D65" s="14"/>
      <c r="E65" s="14"/>
      <c r="F65" s="14"/>
      <c r="G65" s="13"/>
      <c r="H65" s="13"/>
      <c r="I65" s="14"/>
      <c r="J65" s="13"/>
      <c r="K65" s="72" t="s">
        <v>284</v>
      </c>
      <c r="L65" s="74"/>
      <c r="M65" s="16"/>
      <c r="N65" s="17"/>
    </row>
    <row r="66" spans="1:14" ht="15.45" x14ac:dyDescent="0.4">
      <c r="A66" s="7"/>
      <c r="B66" s="14"/>
      <c r="C66" s="71" t="s">
        <v>285</v>
      </c>
      <c r="D66" s="14"/>
      <c r="E66" s="14"/>
      <c r="F66" s="14"/>
      <c r="G66" s="13"/>
      <c r="H66" s="13"/>
      <c r="I66" s="14"/>
      <c r="J66" s="13"/>
      <c r="K66" s="14"/>
      <c r="L66" s="75"/>
      <c r="M66" s="16"/>
      <c r="N66" s="17"/>
    </row>
  </sheetData>
  <mergeCells count="16">
    <mergeCell ref="E7:J7"/>
    <mergeCell ref="K7:M7"/>
    <mergeCell ref="N7:N8"/>
    <mergeCell ref="B62:H62"/>
    <mergeCell ref="B5:C5"/>
    <mergeCell ref="B6:C6"/>
    <mergeCell ref="A7:A8"/>
    <mergeCell ref="B7:B8"/>
    <mergeCell ref="C7:C8"/>
    <mergeCell ref="D7:D8"/>
    <mergeCell ref="A1:N1"/>
    <mergeCell ref="A2:N2"/>
    <mergeCell ref="B3:C3"/>
    <mergeCell ref="G3:H3"/>
    <mergeCell ref="B4:C4"/>
    <mergeCell ref="G4:H4"/>
  </mergeCells>
  <conditionalFormatting sqref="A3:A66">
    <cfRule type="expression" dxfId="0" priority="1" stopIfTrue="1">
      <formula>AND(COUNTIF($A$62:$A$65536, A3)+COUNTIF($A$3:$A$61, A3)+COUNTIF(#REF!, A3)&gt;1,NOT(ISBLANK(A3)))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selection sqref="A1:XFD1048576"/>
    </sheetView>
  </sheetViews>
  <sheetFormatPr defaultColWidth="9.15234375" defaultRowHeight="14.6" x14ac:dyDescent="0.4"/>
  <cols>
    <col min="1" max="1" width="40.84375" style="80" customWidth="1"/>
    <col min="2" max="2" width="5.84375" style="81" customWidth="1"/>
    <col min="3" max="3" width="20.84375" style="80" customWidth="1"/>
    <col min="4" max="4" width="4.69140625" style="81" customWidth="1"/>
    <col min="5" max="5" width="37" style="80" customWidth="1"/>
    <col min="6" max="6" width="6" style="81" bestFit="1" customWidth="1"/>
    <col min="7" max="7" width="19.53515625" style="80" customWidth="1"/>
    <col min="8" max="8" width="21.84375" style="80" customWidth="1"/>
    <col min="9" max="9" width="2.15234375" style="80" customWidth="1"/>
    <col min="10" max="10" width="29.53515625" style="84" customWidth="1"/>
    <col min="11" max="12" width="12.84375" style="80" bestFit="1" customWidth="1"/>
    <col min="13" max="13" width="0" style="80" hidden="1" customWidth="1"/>
    <col min="14" max="256" width="9.15234375" style="80"/>
    <col min="257" max="257" width="40.84375" style="80" customWidth="1"/>
    <col min="258" max="258" width="5.84375" style="80" customWidth="1"/>
    <col min="259" max="259" width="20.84375" style="80" customWidth="1"/>
    <col min="260" max="260" width="4.69140625" style="80" customWidth="1"/>
    <col min="261" max="261" width="37" style="80" customWidth="1"/>
    <col min="262" max="262" width="6" style="80" bestFit="1" customWidth="1"/>
    <col min="263" max="263" width="19.53515625" style="80" customWidth="1"/>
    <col min="264" max="264" width="21.84375" style="80" customWidth="1"/>
    <col min="265" max="265" width="2.15234375" style="80" customWidth="1"/>
    <col min="266" max="266" width="29.53515625" style="80" customWidth="1"/>
    <col min="267" max="268" width="12.84375" style="80" bestFit="1" customWidth="1"/>
    <col min="269" max="269" width="0" style="80" hidden="1" customWidth="1"/>
    <col min="270" max="512" width="9.15234375" style="80"/>
    <col min="513" max="513" width="40.84375" style="80" customWidth="1"/>
    <col min="514" max="514" width="5.84375" style="80" customWidth="1"/>
    <col min="515" max="515" width="20.84375" style="80" customWidth="1"/>
    <col min="516" max="516" width="4.69140625" style="80" customWidth="1"/>
    <col min="517" max="517" width="37" style="80" customWidth="1"/>
    <col min="518" max="518" width="6" style="80" bestFit="1" customWidth="1"/>
    <col min="519" max="519" width="19.53515625" style="80" customWidth="1"/>
    <col min="520" max="520" width="21.84375" style="80" customWidth="1"/>
    <col min="521" max="521" width="2.15234375" style="80" customWidth="1"/>
    <col min="522" max="522" width="29.53515625" style="80" customWidth="1"/>
    <col min="523" max="524" width="12.84375" style="80" bestFit="1" customWidth="1"/>
    <col min="525" max="525" width="0" style="80" hidden="1" customWidth="1"/>
    <col min="526" max="768" width="9.15234375" style="80"/>
    <col min="769" max="769" width="40.84375" style="80" customWidth="1"/>
    <col min="770" max="770" width="5.84375" style="80" customWidth="1"/>
    <col min="771" max="771" width="20.84375" style="80" customWidth="1"/>
    <col min="772" max="772" width="4.69140625" style="80" customWidth="1"/>
    <col min="773" max="773" width="37" style="80" customWidth="1"/>
    <col min="774" max="774" width="6" style="80" bestFit="1" customWidth="1"/>
    <col min="775" max="775" width="19.53515625" style="80" customWidth="1"/>
    <col min="776" max="776" width="21.84375" style="80" customWidth="1"/>
    <col min="777" max="777" width="2.15234375" style="80" customWidth="1"/>
    <col min="778" max="778" width="29.53515625" style="80" customWidth="1"/>
    <col min="779" max="780" width="12.84375" style="80" bestFit="1" customWidth="1"/>
    <col min="781" max="781" width="0" style="80" hidden="1" customWidth="1"/>
    <col min="782" max="1024" width="9.15234375" style="80"/>
    <col min="1025" max="1025" width="40.84375" style="80" customWidth="1"/>
    <col min="1026" max="1026" width="5.84375" style="80" customWidth="1"/>
    <col min="1027" max="1027" width="20.84375" style="80" customWidth="1"/>
    <col min="1028" max="1028" width="4.69140625" style="80" customWidth="1"/>
    <col min="1029" max="1029" width="37" style="80" customWidth="1"/>
    <col min="1030" max="1030" width="6" style="80" bestFit="1" customWidth="1"/>
    <col min="1031" max="1031" width="19.53515625" style="80" customWidth="1"/>
    <col min="1032" max="1032" width="21.84375" style="80" customWidth="1"/>
    <col min="1033" max="1033" width="2.15234375" style="80" customWidth="1"/>
    <col min="1034" max="1034" width="29.53515625" style="80" customWidth="1"/>
    <col min="1035" max="1036" width="12.84375" style="80" bestFit="1" customWidth="1"/>
    <col min="1037" max="1037" width="0" style="80" hidden="1" customWidth="1"/>
    <col min="1038" max="1280" width="9.15234375" style="80"/>
    <col min="1281" max="1281" width="40.84375" style="80" customWidth="1"/>
    <col min="1282" max="1282" width="5.84375" style="80" customWidth="1"/>
    <col min="1283" max="1283" width="20.84375" style="80" customWidth="1"/>
    <col min="1284" max="1284" width="4.69140625" style="80" customWidth="1"/>
    <col min="1285" max="1285" width="37" style="80" customWidth="1"/>
    <col min="1286" max="1286" width="6" style="80" bestFit="1" customWidth="1"/>
    <col min="1287" max="1287" width="19.53515625" style="80" customWidth="1"/>
    <col min="1288" max="1288" width="21.84375" style="80" customWidth="1"/>
    <col min="1289" max="1289" width="2.15234375" style="80" customWidth="1"/>
    <col min="1290" max="1290" width="29.53515625" style="80" customWidth="1"/>
    <col min="1291" max="1292" width="12.84375" style="80" bestFit="1" customWidth="1"/>
    <col min="1293" max="1293" width="0" style="80" hidden="1" customWidth="1"/>
    <col min="1294" max="1536" width="9.15234375" style="80"/>
    <col min="1537" max="1537" width="40.84375" style="80" customWidth="1"/>
    <col min="1538" max="1538" width="5.84375" style="80" customWidth="1"/>
    <col min="1539" max="1539" width="20.84375" style="80" customWidth="1"/>
    <col min="1540" max="1540" width="4.69140625" style="80" customWidth="1"/>
    <col min="1541" max="1541" width="37" style="80" customWidth="1"/>
    <col min="1542" max="1542" width="6" style="80" bestFit="1" customWidth="1"/>
    <col min="1543" max="1543" width="19.53515625" style="80" customWidth="1"/>
    <col min="1544" max="1544" width="21.84375" style="80" customWidth="1"/>
    <col min="1545" max="1545" width="2.15234375" style="80" customWidth="1"/>
    <col min="1546" max="1546" width="29.53515625" style="80" customWidth="1"/>
    <col min="1547" max="1548" width="12.84375" style="80" bestFit="1" customWidth="1"/>
    <col min="1549" max="1549" width="0" style="80" hidden="1" customWidth="1"/>
    <col min="1550" max="1792" width="9.15234375" style="80"/>
    <col min="1793" max="1793" width="40.84375" style="80" customWidth="1"/>
    <col min="1794" max="1794" width="5.84375" style="80" customWidth="1"/>
    <col min="1795" max="1795" width="20.84375" style="80" customWidth="1"/>
    <col min="1796" max="1796" width="4.69140625" style="80" customWidth="1"/>
    <col min="1797" max="1797" width="37" style="80" customWidth="1"/>
    <col min="1798" max="1798" width="6" style="80" bestFit="1" customWidth="1"/>
    <col min="1799" max="1799" width="19.53515625" style="80" customWidth="1"/>
    <col min="1800" max="1800" width="21.84375" style="80" customWidth="1"/>
    <col min="1801" max="1801" width="2.15234375" style="80" customWidth="1"/>
    <col min="1802" max="1802" width="29.53515625" style="80" customWidth="1"/>
    <col min="1803" max="1804" width="12.84375" style="80" bestFit="1" customWidth="1"/>
    <col min="1805" max="1805" width="0" style="80" hidden="1" customWidth="1"/>
    <col min="1806" max="2048" width="9.15234375" style="80"/>
    <col min="2049" max="2049" width="40.84375" style="80" customWidth="1"/>
    <col min="2050" max="2050" width="5.84375" style="80" customWidth="1"/>
    <col min="2051" max="2051" width="20.84375" style="80" customWidth="1"/>
    <col min="2052" max="2052" width="4.69140625" style="80" customWidth="1"/>
    <col min="2053" max="2053" width="37" style="80" customWidth="1"/>
    <col min="2054" max="2054" width="6" style="80" bestFit="1" customWidth="1"/>
    <col min="2055" max="2055" width="19.53515625" style="80" customWidth="1"/>
    <col min="2056" max="2056" width="21.84375" style="80" customWidth="1"/>
    <col min="2057" max="2057" width="2.15234375" style="80" customWidth="1"/>
    <col min="2058" max="2058" width="29.53515625" style="80" customWidth="1"/>
    <col min="2059" max="2060" width="12.84375" style="80" bestFit="1" customWidth="1"/>
    <col min="2061" max="2061" width="0" style="80" hidden="1" customWidth="1"/>
    <col min="2062" max="2304" width="9.15234375" style="80"/>
    <col min="2305" max="2305" width="40.84375" style="80" customWidth="1"/>
    <col min="2306" max="2306" width="5.84375" style="80" customWidth="1"/>
    <col min="2307" max="2307" width="20.84375" style="80" customWidth="1"/>
    <col min="2308" max="2308" width="4.69140625" style="80" customWidth="1"/>
    <col min="2309" max="2309" width="37" style="80" customWidth="1"/>
    <col min="2310" max="2310" width="6" style="80" bestFit="1" customWidth="1"/>
    <col min="2311" max="2311" width="19.53515625" style="80" customWidth="1"/>
    <col min="2312" max="2312" width="21.84375" style="80" customWidth="1"/>
    <col min="2313" max="2313" width="2.15234375" style="80" customWidth="1"/>
    <col min="2314" max="2314" width="29.53515625" style="80" customWidth="1"/>
    <col min="2315" max="2316" width="12.84375" style="80" bestFit="1" customWidth="1"/>
    <col min="2317" max="2317" width="0" style="80" hidden="1" customWidth="1"/>
    <col min="2318" max="2560" width="9.15234375" style="80"/>
    <col min="2561" max="2561" width="40.84375" style="80" customWidth="1"/>
    <col min="2562" max="2562" width="5.84375" style="80" customWidth="1"/>
    <col min="2563" max="2563" width="20.84375" style="80" customWidth="1"/>
    <col min="2564" max="2564" width="4.69140625" style="80" customWidth="1"/>
    <col min="2565" max="2565" width="37" style="80" customWidth="1"/>
    <col min="2566" max="2566" width="6" style="80" bestFit="1" customWidth="1"/>
    <col min="2567" max="2567" width="19.53515625" style="80" customWidth="1"/>
    <col min="2568" max="2568" width="21.84375" style="80" customWidth="1"/>
    <col min="2569" max="2569" width="2.15234375" style="80" customWidth="1"/>
    <col min="2570" max="2570" width="29.53515625" style="80" customWidth="1"/>
    <col min="2571" max="2572" width="12.84375" style="80" bestFit="1" customWidth="1"/>
    <col min="2573" max="2573" width="0" style="80" hidden="1" customWidth="1"/>
    <col min="2574" max="2816" width="9.15234375" style="80"/>
    <col min="2817" max="2817" width="40.84375" style="80" customWidth="1"/>
    <col min="2818" max="2818" width="5.84375" style="80" customWidth="1"/>
    <col min="2819" max="2819" width="20.84375" style="80" customWidth="1"/>
    <col min="2820" max="2820" width="4.69140625" style="80" customWidth="1"/>
    <col min="2821" max="2821" width="37" style="80" customWidth="1"/>
    <col min="2822" max="2822" width="6" style="80" bestFit="1" customWidth="1"/>
    <col min="2823" max="2823" width="19.53515625" style="80" customWidth="1"/>
    <col min="2824" max="2824" width="21.84375" style="80" customWidth="1"/>
    <col min="2825" max="2825" width="2.15234375" style="80" customWidth="1"/>
    <col min="2826" max="2826" width="29.53515625" style="80" customWidth="1"/>
    <col min="2827" max="2828" width="12.84375" style="80" bestFit="1" customWidth="1"/>
    <col min="2829" max="2829" width="0" style="80" hidden="1" customWidth="1"/>
    <col min="2830" max="3072" width="9.15234375" style="80"/>
    <col min="3073" max="3073" width="40.84375" style="80" customWidth="1"/>
    <col min="3074" max="3074" width="5.84375" style="80" customWidth="1"/>
    <col min="3075" max="3075" width="20.84375" style="80" customWidth="1"/>
    <col min="3076" max="3076" width="4.69140625" style="80" customWidth="1"/>
    <col min="3077" max="3077" width="37" style="80" customWidth="1"/>
    <col min="3078" max="3078" width="6" style="80" bestFit="1" customWidth="1"/>
    <col min="3079" max="3079" width="19.53515625" style="80" customWidth="1"/>
    <col min="3080" max="3080" width="21.84375" style="80" customWidth="1"/>
    <col min="3081" max="3081" width="2.15234375" style="80" customWidth="1"/>
    <col min="3082" max="3082" width="29.53515625" style="80" customWidth="1"/>
    <col min="3083" max="3084" width="12.84375" style="80" bestFit="1" customWidth="1"/>
    <col min="3085" max="3085" width="0" style="80" hidden="1" customWidth="1"/>
    <col min="3086" max="3328" width="9.15234375" style="80"/>
    <col min="3329" max="3329" width="40.84375" style="80" customWidth="1"/>
    <col min="3330" max="3330" width="5.84375" style="80" customWidth="1"/>
    <col min="3331" max="3331" width="20.84375" style="80" customWidth="1"/>
    <col min="3332" max="3332" width="4.69140625" style="80" customWidth="1"/>
    <col min="3333" max="3333" width="37" style="80" customWidth="1"/>
    <col min="3334" max="3334" width="6" style="80" bestFit="1" customWidth="1"/>
    <col min="3335" max="3335" width="19.53515625" style="80" customWidth="1"/>
    <col min="3336" max="3336" width="21.84375" style="80" customWidth="1"/>
    <col min="3337" max="3337" width="2.15234375" style="80" customWidth="1"/>
    <col min="3338" max="3338" width="29.53515625" style="80" customWidth="1"/>
    <col min="3339" max="3340" width="12.84375" style="80" bestFit="1" customWidth="1"/>
    <col min="3341" max="3341" width="0" style="80" hidden="1" customWidth="1"/>
    <col min="3342" max="3584" width="9.15234375" style="80"/>
    <col min="3585" max="3585" width="40.84375" style="80" customWidth="1"/>
    <col min="3586" max="3586" width="5.84375" style="80" customWidth="1"/>
    <col min="3587" max="3587" width="20.84375" style="80" customWidth="1"/>
    <col min="3588" max="3588" width="4.69140625" style="80" customWidth="1"/>
    <col min="3589" max="3589" width="37" style="80" customWidth="1"/>
    <col min="3590" max="3590" width="6" style="80" bestFit="1" customWidth="1"/>
    <col min="3591" max="3591" width="19.53515625" style="80" customWidth="1"/>
    <col min="3592" max="3592" width="21.84375" style="80" customWidth="1"/>
    <col min="3593" max="3593" width="2.15234375" style="80" customWidth="1"/>
    <col min="3594" max="3594" width="29.53515625" style="80" customWidth="1"/>
    <col min="3595" max="3596" width="12.84375" style="80" bestFit="1" customWidth="1"/>
    <col min="3597" max="3597" width="0" style="80" hidden="1" customWidth="1"/>
    <col min="3598" max="3840" width="9.15234375" style="80"/>
    <col min="3841" max="3841" width="40.84375" style="80" customWidth="1"/>
    <col min="3842" max="3842" width="5.84375" style="80" customWidth="1"/>
    <col min="3843" max="3843" width="20.84375" style="80" customWidth="1"/>
    <col min="3844" max="3844" width="4.69140625" style="80" customWidth="1"/>
    <col min="3845" max="3845" width="37" style="80" customWidth="1"/>
    <col min="3846" max="3846" width="6" style="80" bestFit="1" customWidth="1"/>
    <col min="3847" max="3847" width="19.53515625" style="80" customWidth="1"/>
    <col min="3848" max="3848" width="21.84375" style="80" customWidth="1"/>
    <col min="3849" max="3849" width="2.15234375" style="80" customWidth="1"/>
    <col min="3850" max="3850" width="29.53515625" style="80" customWidth="1"/>
    <col min="3851" max="3852" width="12.84375" style="80" bestFit="1" customWidth="1"/>
    <col min="3853" max="3853" width="0" style="80" hidden="1" customWidth="1"/>
    <col min="3854" max="4096" width="9.15234375" style="80"/>
    <col min="4097" max="4097" width="40.84375" style="80" customWidth="1"/>
    <col min="4098" max="4098" width="5.84375" style="80" customWidth="1"/>
    <col min="4099" max="4099" width="20.84375" style="80" customWidth="1"/>
    <col min="4100" max="4100" width="4.69140625" style="80" customWidth="1"/>
    <col min="4101" max="4101" width="37" style="80" customWidth="1"/>
    <col min="4102" max="4102" width="6" style="80" bestFit="1" customWidth="1"/>
    <col min="4103" max="4103" width="19.53515625" style="80" customWidth="1"/>
    <col min="4104" max="4104" width="21.84375" style="80" customWidth="1"/>
    <col min="4105" max="4105" width="2.15234375" style="80" customWidth="1"/>
    <col min="4106" max="4106" width="29.53515625" style="80" customWidth="1"/>
    <col min="4107" max="4108" width="12.84375" style="80" bestFit="1" customWidth="1"/>
    <col min="4109" max="4109" width="0" style="80" hidden="1" customWidth="1"/>
    <col min="4110" max="4352" width="9.15234375" style="80"/>
    <col min="4353" max="4353" width="40.84375" style="80" customWidth="1"/>
    <col min="4354" max="4354" width="5.84375" style="80" customWidth="1"/>
    <col min="4355" max="4355" width="20.84375" style="80" customWidth="1"/>
    <col min="4356" max="4356" width="4.69140625" style="80" customWidth="1"/>
    <col min="4357" max="4357" width="37" style="80" customWidth="1"/>
    <col min="4358" max="4358" width="6" style="80" bestFit="1" customWidth="1"/>
    <col min="4359" max="4359" width="19.53515625" style="80" customWidth="1"/>
    <col min="4360" max="4360" width="21.84375" style="80" customWidth="1"/>
    <col min="4361" max="4361" width="2.15234375" style="80" customWidth="1"/>
    <col min="4362" max="4362" width="29.53515625" style="80" customWidth="1"/>
    <col min="4363" max="4364" width="12.84375" style="80" bestFit="1" customWidth="1"/>
    <col min="4365" max="4365" width="0" style="80" hidden="1" customWidth="1"/>
    <col min="4366" max="4608" width="9.15234375" style="80"/>
    <col min="4609" max="4609" width="40.84375" style="80" customWidth="1"/>
    <col min="4610" max="4610" width="5.84375" style="80" customWidth="1"/>
    <col min="4611" max="4611" width="20.84375" style="80" customWidth="1"/>
    <col min="4612" max="4612" width="4.69140625" style="80" customWidth="1"/>
    <col min="4613" max="4613" width="37" style="80" customWidth="1"/>
    <col min="4614" max="4614" width="6" style="80" bestFit="1" customWidth="1"/>
    <col min="4615" max="4615" width="19.53515625" style="80" customWidth="1"/>
    <col min="4616" max="4616" width="21.84375" style="80" customWidth="1"/>
    <col min="4617" max="4617" width="2.15234375" style="80" customWidth="1"/>
    <col min="4618" max="4618" width="29.53515625" style="80" customWidth="1"/>
    <col min="4619" max="4620" width="12.84375" style="80" bestFit="1" customWidth="1"/>
    <col min="4621" max="4621" width="0" style="80" hidden="1" customWidth="1"/>
    <col min="4622" max="4864" width="9.15234375" style="80"/>
    <col min="4865" max="4865" width="40.84375" style="80" customWidth="1"/>
    <col min="4866" max="4866" width="5.84375" style="80" customWidth="1"/>
    <col min="4867" max="4867" width="20.84375" style="80" customWidth="1"/>
    <col min="4868" max="4868" width="4.69140625" style="80" customWidth="1"/>
    <col min="4869" max="4869" width="37" style="80" customWidth="1"/>
    <col min="4870" max="4870" width="6" style="80" bestFit="1" customWidth="1"/>
    <col min="4871" max="4871" width="19.53515625" style="80" customWidth="1"/>
    <col min="4872" max="4872" width="21.84375" style="80" customWidth="1"/>
    <col min="4873" max="4873" width="2.15234375" style="80" customWidth="1"/>
    <col min="4874" max="4874" width="29.53515625" style="80" customWidth="1"/>
    <col min="4875" max="4876" width="12.84375" style="80" bestFit="1" customWidth="1"/>
    <col min="4877" max="4877" width="0" style="80" hidden="1" customWidth="1"/>
    <col min="4878" max="5120" width="9.15234375" style="80"/>
    <col min="5121" max="5121" width="40.84375" style="80" customWidth="1"/>
    <col min="5122" max="5122" width="5.84375" style="80" customWidth="1"/>
    <col min="5123" max="5123" width="20.84375" style="80" customWidth="1"/>
    <col min="5124" max="5124" width="4.69140625" style="80" customWidth="1"/>
    <col min="5125" max="5125" width="37" style="80" customWidth="1"/>
    <col min="5126" max="5126" width="6" style="80" bestFit="1" customWidth="1"/>
    <col min="5127" max="5127" width="19.53515625" style="80" customWidth="1"/>
    <col min="5128" max="5128" width="21.84375" style="80" customWidth="1"/>
    <col min="5129" max="5129" width="2.15234375" style="80" customWidth="1"/>
    <col min="5130" max="5130" width="29.53515625" style="80" customWidth="1"/>
    <col min="5131" max="5132" width="12.84375" style="80" bestFit="1" customWidth="1"/>
    <col min="5133" max="5133" width="0" style="80" hidden="1" customWidth="1"/>
    <col min="5134" max="5376" width="9.15234375" style="80"/>
    <col min="5377" max="5377" width="40.84375" style="80" customWidth="1"/>
    <col min="5378" max="5378" width="5.84375" style="80" customWidth="1"/>
    <col min="5379" max="5379" width="20.84375" style="80" customWidth="1"/>
    <col min="5380" max="5380" width="4.69140625" style="80" customWidth="1"/>
    <col min="5381" max="5381" width="37" style="80" customWidth="1"/>
    <col min="5382" max="5382" width="6" style="80" bestFit="1" customWidth="1"/>
    <col min="5383" max="5383" width="19.53515625" style="80" customWidth="1"/>
    <col min="5384" max="5384" width="21.84375" style="80" customWidth="1"/>
    <col min="5385" max="5385" width="2.15234375" style="80" customWidth="1"/>
    <col min="5386" max="5386" width="29.53515625" style="80" customWidth="1"/>
    <col min="5387" max="5388" width="12.84375" style="80" bestFit="1" customWidth="1"/>
    <col min="5389" max="5389" width="0" style="80" hidden="1" customWidth="1"/>
    <col min="5390" max="5632" width="9.15234375" style="80"/>
    <col min="5633" max="5633" width="40.84375" style="80" customWidth="1"/>
    <col min="5634" max="5634" width="5.84375" style="80" customWidth="1"/>
    <col min="5635" max="5635" width="20.84375" style="80" customWidth="1"/>
    <col min="5636" max="5636" width="4.69140625" style="80" customWidth="1"/>
    <col min="5637" max="5637" width="37" style="80" customWidth="1"/>
    <col min="5638" max="5638" width="6" style="80" bestFit="1" customWidth="1"/>
    <col min="5639" max="5639" width="19.53515625" style="80" customWidth="1"/>
    <col min="5640" max="5640" width="21.84375" style="80" customWidth="1"/>
    <col min="5641" max="5641" width="2.15234375" style="80" customWidth="1"/>
    <col min="5642" max="5642" width="29.53515625" style="80" customWidth="1"/>
    <col min="5643" max="5644" width="12.84375" style="80" bestFit="1" customWidth="1"/>
    <col min="5645" max="5645" width="0" style="80" hidden="1" customWidth="1"/>
    <col min="5646" max="5888" width="9.15234375" style="80"/>
    <col min="5889" max="5889" width="40.84375" style="80" customWidth="1"/>
    <col min="5890" max="5890" width="5.84375" style="80" customWidth="1"/>
    <col min="5891" max="5891" width="20.84375" style="80" customWidth="1"/>
    <col min="5892" max="5892" width="4.69140625" style="80" customWidth="1"/>
    <col min="5893" max="5893" width="37" style="80" customWidth="1"/>
    <col min="5894" max="5894" width="6" style="80" bestFit="1" customWidth="1"/>
    <col min="5895" max="5895" width="19.53515625" style="80" customWidth="1"/>
    <col min="5896" max="5896" width="21.84375" style="80" customWidth="1"/>
    <col min="5897" max="5897" width="2.15234375" style="80" customWidth="1"/>
    <col min="5898" max="5898" width="29.53515625" style="80" customWidth="1"/>
    <col min="5899" max="5900" width="12.84375" style="80" bestFit="1" customWidth="1"/>
    <col min="5901" max="5901" width="0" style="80" hidden="1" customWidth="1"/>
    <col min="5902" max="6144" width="9.15234375" style="80"/>
    <col min="6145" max="6145" width="40.84375" style="80" customWidth="1"/>
    <col min="6146" max="6146" width="5.84375" style="80" customWidth="1"/>
    <col min="6147" max="6147" width="20.84375" style="80" customWidth="1"/>
    <col min="6148" max="6148" width="4.69140625" style="80" customWidth="1"/>
    <col min="6149" max="6149" width="37" style="80" customWidth="1"/>
    <col min="6150" max="6150" width="6" style="80" bestFit="1" customWidth="1"/>
    <col min="6151" max="6151" width="19.53515625" style="80" customWidth="1"/>
    <col min="6152" max="6152" width="21.84375" style="80" customWidth="1"/>
    <col min="6153" max="6153" width="2.15234375" style="80" customWidth="1"/>
    <col min="6154" max="6154" width="29.53515625" style="80" customWidth="1"/>
    <col min="6155" max="6156" width="12.84375" style="80" bestFit="1" customWidth="1"/>
    <col min="6157" max="6157" width="0" style="80" hidden="1" customWidth="1"/>
    <col min="6158" max="6400" width="9.15234375" style="80"/>
    <col min="6401" max="6401" width="40.84375" style="80" customWidth="1"/>
    <col min="6402" max="6402" width="5.84375" style="80" customWidth="1"/>
    <col min="6403" max="6403" width="20.84375" style="80" customWidth="1"/>
    <col min="6404" max="6404" width="4.69140625" style="80" customWidth="1"/>
    <col min="6405" max="6405" width="37" style="80" customWidth="1"/>
    <col min="6406" max="6406" width="6" style="80" bestFit="1" customWidth="1"/>
    <col min="6407" max="6407" width="19.53515625" style="80" customWidth="1"/>
    <col min="6408" max="6408" width="21.84375" style="80" customWidth="1"/>
    <col min="6409" max="6409" width="2.15234375" style="80" customWidth="1"/>
    <col min="6410" max="6410" width="29.53515625" style="80" customWidth="1"/>
    <col min="6411" max="6412" width="12.84375" style="80" bestFit="1" customWidth="1"/>
    <col min="6413" max="6413" width="0" style="80" hidden="1" customWidth="1"/>
    <col min="6414" max="6656" width="9.15234375" style="80"/>
    <col min="6657" max="6657" width="40.84375" style="80" customWidth="1"/>
    <col min="6658" max="6658" width="5.84375" style="80" customWidth="1"/>
    <col min="6659" max="6659" width="20.84375" style="80" customWidth="1"/>
    <col min="6660" max="6660" width="4.69140625" style="80" customWidth="1"/>
    <col min="6661" max="6661" width="37" style="80" customWidth="1"/>
    <col min="6662" max="6662" width="6" style="80" bestFit="1" customWidth="1"/>
    <col min="6663" max="6663" width="19.53515625" style="80" customWidth="1"/>
    <col min="6664" max="6664" width="21.84375" style="80" customWidth="1"/>
    <col min="6665" max="6665" width="2.15234375" style="80" customWidth="1"/>
    <col min="6666" max="6666" width="29.53515625" style="80" customWidth="1"/>
    <col min="6667" max="6668" width="12.84375" style="80" bestFit="1" customWidth="1"/>
    <col min="6669" max="6669" width="0" style="80" hidden="1" customWidth="1"/>
    <col min="6670" max="6912" width="9.15234375" style="80"/>
    <col min="6913" max="6913" width="40.84375" style="80" customWidth="1"/>
    <col min="6914" max="6914" width="5.84375" style="80" customWidth="1"/>
    <col min="6915" max="6915" width="20.84375" style="80" customWidth="1"/>
    <col min="6916" max="6916" width="4.69140625" style="80" customWidth="1"/>
    <col min="6917" max="6917" width="37" style="80" customWidth="1"/>
    <col min="6918" max="6918" width="6" style="80" bestFit="1" customWidth="1"/>
    <col min="6919" max="6919" width="19.53515625" style="80" customWidth="1"/>
    <col min="6920" max="6920" width="21.84375" style="80" customWidth="1"/>
    <col min="6921" max="6921" width="2.15234375" style="80" customWidth="1"/>
    <col min="6922" max="6922" width="29.53515625" style="80" customWidth="1"/>
    <col min="6923" max="6924" width="12.84375" style="80" bestFit="1" customWidth="1"/>
    <col min="6925" max="6925" width="0" style="80" hidden="1" customWidth="1"/>
    <col min="6926" max="7168" width="9.15234375" style="80"/>
    <col min="7169" max="7169" width="40.84375" style="80" customWidth="1"/>
    <col min="7170" max="7170" width="5.84375" style="80" customWidth="1"/>
    <col min="7171" max="7171" width="20.84375" style="80" customWidth="1"/>
    <col min="7172" max="7172" width="4.69140625" style="80" customWidth="1"/>
    <col min="7173" max="7173" width="37" style="80" customWidth="1"/>
    <col min="7174" max="7174" width="6" style="80" bestFit="1" customWidth="1"/>
    <col min="7175" max="7175" width="19.53515625" style="80" customWidth="1"/>
    <col min="7176" max="7176" width="21.84375" style="80" customWidth="1"/>
    <col min="7177" max="7177" width="2.15234375" style="80" customWidth="1"/>
    <col min="7178" max="7178" width="29.53515625" style="80" customWidth="1"/>
    <col min="7179" max="7180" width="12.84375" style="80" bestFit="1" customWidth="1"/>
    <col min="7181" max="7181" width="0" style="80" hidden="1" customWidth="1"/>
    <col min="7182" max="7424" width="9.15234375" style="80"/>
    <col min="7425" max="7425" width="40.84375" style="80" customWidth="1"/>
    <col min="7426" max="7426" width="5.84375" style="80" customWidth="1"/>
    <col min="7427" max="7427" width="20.84375" style="80" customWidth="1"/>
    <col min="7428" max="7428" width="4.69140625" style="80" customWidth="1"/>
    <col min="7429" max="7429" width="37" style="80" customWidth="1"/>
    <col min="7430" max="7430" width="6" style="80" bestFit="1" customWidth="1"/>
    <col min="7431" max="7431" width="19.53515625" style="80" customWidth="1"/>
    <col min="7432" max="7432" width="21.84375" style="80" customWidth="1"/>
    <col min="7433" max="7433" width="2.15234375" style="80" customWidth="1"/>
    <col min="7434" max="7434" width="29.53515625" style="80" customWidth="1"/>
    <col min="7435" max="7436" width="12.84375" style="80" bestFit="1" customWidth="1"/>
    <col min="7437" max="7437" width="0" style="80" hidden="1" customWidth="1"/>
    <col min="7438" max="7680" width="9.15234375" style="80"/>
    <col min="7681" max="7681" width="40.84375" style="80" customWidth="1"/>
    <col min="7682" max="7682" width="5.84375" style="80" customWidth="1"/>
    <col min="7683" max="7683" width="20.84375" style="80" customWidth="1"/>
    <col min="7684" max="7684" width="4.69140625" style="80" customWidth="1"/>
    <col min="7685" max="7685" width="37" style="80" customWidth="1"/>
    <col min="7686" max="7686" width="6" style="80" bestFit="1" customWidth="1"/>
    <col min="7687" max="7687" width="19.53515625" style="80" customWidth="1"/>
    <col min="7688" max="7688" width="21.84375" style="80" customWidth="1"/>
    <col min="7689" max="7689" width="2.15234375" style="80" customWidth="1"/>
    <col min="7690" max="7690" width="29.53515625" style="80" customWidth="1"/>
    <col min="7691" max="7692" width="12.84375" style="80" bestFit="1" customWidth="1"/>
    <col min="7693" max="7693" width="0" style="80" hidden="1" customWidth="1"/>
    <col min="7694" max="7936" width="9.15234375" style="80"/>
    <col min="7937" max="7937" width="40.84375" style="80" customWidth="1"/>
    <col min="7938" max="7938" width="5.84375" style="80" customWidth="1"/>
    <col min="7939" max="7939" width="20.84375" style="80" customWidth="1"/>
    <col min="7940" max="7940" width="4.69140625" style="80" customWidth="1"/>
    <col min="7941" max="7941" width="37" style="80" customWidth="1"/>
    <col min="7942" max="7942" width="6" style="80" bestFit="1" customWidth="1"/>
    <col min="7943" max="7943" width="19.53515625" style="80" customWidth="1"/>
    <col min="7944" max="7944" width="21.84375" style="80" customWidth="1"/>
    <col min="7945" max="7945" width="2.15234375" style="80" customWidth="1"/>
    <col min="7946" max="7946" width="29.53515625" style="80" customWidth="1"/>
    <col min="7947" max="7948" width="12.84375" style="80" bestFit="1" customWidth="1"/>
    <col min="7949" max="7949" width="0" style="80" hidden="1" customWidth="1"/>
    <col min="7950" max="8192" width="9.15234375" style="80"/>
    <col min="8193" max="8193" width="40.84375" style="80" customWidth="1"/>
    <col min="8194" max="8194" width="5.84375" style="80" customWidth="1"/>
    <col min="8195" max="8195" width="20.84375" style="80" customWidth="1"/>
    <col min="8196" max="8196" width="4.69140625" style="80" customWidth="1"/>
    <col min="8197" max="8197" width="37" style="80" customWidth="1"/>
    <col min="8198" max="8198" width="6" style="80" bestFit="1" customWidth="1"/>
    <col min="8199" max="8199" width="19.53515625" style="80" customWidth="1"/>
    <col min="8200" max="8200" width="21.84375" style="80" customWidth="1"/>
    <col min="8201" max="8201" width="2.15234375" style="80" customWidth="1"/>
    <col min="8202" max="8202" width="29.53515625" style="80" customWidth="1"/>
    <col min="8203" max="8204" width="12.84375" style="80" bestFit="1" customWidth="1"/>
    <col min="8205" max="8205" width="0" style="80" hidden="1" customWidth="1"/>
    <col min="8206" max="8448" width="9.15234375" style="80"/>
    <col min="8449" max="8449" width="40.84375" style="80" customWidth="1"/>
    <col min="8450" max="8450" width="5.84375" style="80" customWidth="1"/>
    <col min="8451" max="8451" width="20.84375" style="80" customWidth="1"/>
    <col min="8452" max="8452" width="4.69140625" style="80" customWidth="1"/>
    <col min="8453" max="8453" width="37" style="80" customWidth="1"/>
    <col min="8454" max="8454" width="6" style="80" bestFit="1" customWidth="1"/>
    <col min="8455" max="8455" width="19.53515625" style="80" customWidth="1"/>
    <col min="8456" max="8456" width="21.84375" style="80" customWidth="1"/>
    <col min="8457" max="8457" width="2.15234375" style="80" customWidth="1"/>
    <col min="8458" max="8458" width="29.53515625" style="80" customWidth="1"/>
    <col min="8459" max="8460" width="12.84375" style="80" bestFit="1" customWidth="1"/>
    <col min="8461" max="8461" width="0" style="80" hidden="1" customWidth="1"/>
    <col min="8462" max="8704" width="9.15234375" style="80"/>
    <col min="8705" max="8705" width="40.84375" style="80" customWidth="1"/>
    <col min="8706" max="8706" width="5.84375" style="80" customWidth="1"/>
    <col min="8707" max="8707" width="20.84375" style="80" customWidth="1"/>
    <col min="8708" max="8708" width="4.69140625" style="80" customWidth="1"/>
    <col min="8709" max="8709" width="37" style="80" customWidth="1"/>
    <col min="8710" max="8710" width="6" style="80" bestFit="1" customWidth="1"/>
    <col min="8711" max="8711" width="19.53515625" style="80" customWidth="1"/>
    <col min="8712" max="8712" width="21.84375" style="80" customWidth="1"/>
    <col min="8713" max="8713" width="2.15234375" style="80" customWidth="1"/>
    <col min="8714" max="8714" width="29.53515625" style="80" customWidth="1"/>
    <col min="8715" max="8716" width="12.84375" style="80" bestFit="1" customWidth="1"/>
    <col min="8717" max="8717" width="0" style="80" hidden="1" customWidth="1"/>
    <col min="8718" max="8960" width="9.15234375" style="80"/>
    <col min="8961" max="8961" width="40.84375" style="80" customWidth="1"/>
    <col min="8962" max="8962" width="5.84375" style="80" customWidth="1"/>
    <col min="8963" max="8963" width="20.84375" style="80" customWidth="1"/>
    <col min="8964" max="8964" width="4.69140625" style="80" customWidth="1"/>
    <col min="8965" max="8965" width="37" style="80" customWidth="1"/>
    <col min="8966" max="8966" width="6" style="80" bestFit="1" customWidth="1"/>
    <col min="8967" max="8967" width="19.53515625" style="80" customWidth="1"/>
    <col min="8968" max="8968" width="21.84375" style="80" customWidth="1"/>
    <col min="8969" max="8969" width="2.15234375" style="80" customWidth="1"/>
    <col min="8970" max="8970" width="29.53515625" style="80" customWidth="1"/>
    <col min="8971" max="8972" width="12.84375" style="80" bestFit="1" customWidth="1"/>
    <col min="8973" max="8973" width="0" style="80" hidden="1" customWidth="1"/>
    <col min="8974" max="9216" width="9.15234375" style="80"/>
    <col min="9217" max="9217" width="40.84375" style="80" customWidth="1"/>
    <col min="9218" max="9218" width="5.84375" style="80" customWidth="1"/>
    <col min="9219" max="9219" width="20.84375" style="80" customWidth="1"/>
    <col min="9220" max="9220" width="4.69140625" style="80" customWidth="1"/>
    <col min="9221" max="9221" width="37" style="80" customWidth="1"/>
    <col min="9222" max="9222" width="6" style="80" bestFit="1" customWidth="1"/>
    <col min="9223" max="9223" width="19.53515625" style="80" customWidth="1"/>
    <col min="9224" max="9224" width="21.84375" style="80" customWidth="1"/>
    <col min="9225" max="9225" width="2.15234375" style="80" customWidth="1"/>
    <col min="9226" max="9226" width="29.53515625" style="80" customWidth="1"/>
    <col min="9227" max="9228" width="12.84375" style="80" bestFit="1" customWidth="1"/>
    <col min="9229" max="9229" width="0" style="80" hidden="1" customWidth="1"/>
    <col min="9230" max="9472" width="9.15234375" style="80"/>
    <col min="9473" max="9473" width="40.84375" style="80" customWidth="1"/>
    <col min="9474" max="9474" width="5.84375" style="80" customWidth="1"/>
    <col min="9475" max="9475" width="20.84375" style="80" customWidth="1"/>
    <col min="9476" max="9476" width="4.69140625" style="80" customWidth="1"/>
    <col min="9477" max="9477" width="37" style="80" customWidth="1"/>
    <col min="9478" max="9478" width="6" style="80" bestFit="1" customWidth="1"/>
    <col min="9479" max="9479" width="19.53515625" style="80" customWidth="1"/>
    <col min="9480" max="9480" width="21.84375" style="80" customWidth="1"/>
    <col min="9481" max="9481" width="2.15234375" style="80" customWidth="1"/>
    <col min="9482" max="9482" width="29.53515625" style="80" customWidth="1"/>
    <col min="9483" max="9484" width="12.84375" style="80" bestFit="1" customWidth="1"/>
    <col min="9485" max="9485" width="0" style="80" hidden="1" customWidth="1"/>
    <col min="9486" max="9728" width="9.15234375" style="80"/>
    <col min="9729" max="9729" width="40.84375" style="80" customWidth="1"/>
    <col min="9730" max="9730" width="5.84375" style="80" customWidth="1"/>
    <col min="9731" max="9731" width="20.84375" style="80" customWidth="1"/>
    <col min="9732" max="9732" width="4.69140625" style="80" customWidth="1"/>
    <col min="9733" max="9733" width="37" style="80" customWidth="1"/>
    <col min="9734" max="9734" width="6" style="80" bestFit="1" customWidth="1"/>
    <col min="9735" max="9735" width="19.53515625" style="80" customWidth="1"/>
    <col min="9736" max="9736" width="21.84375" style="80" customWidth="1"/>
    <col min="9737" max="9737" width="2.15234375" style="80" customWidth="1"/>
    <col min="9738" max="9738" width="29.53515625" style="80" customWidth="1"/>
    <col min="9739" max="9740" width="12.84375" style="80" bestFit="1" customWidth="1"/>
    <col min="9741" max="9741" width="0" style="80" hidden="1" customWidth="1"/>
    <col min="9742" max="9984" width="9.15234375" style="80"/>
    <col min="9985" max="9985" width="40.84375" style="80" customWidth="1"/>
    <col min="9986" max="9986" width="5.84375" style="80" customWidth="1"/>
    <col min="9987" max="9987" width="20.84375" style="80" customWidth="1"/>
    <col min="9988" max="9988" width="4.69140625" style="80" customWidth="1"/>
    <col min="9989" max="9989" width="37" style="80" customWidth="1"/>
    <col min="9990" max="9990" width="6" style="80" bestFit="1" customWidth="1"/>
    <col min="9991" max="9991" width="19.53515625" style="80" customWidth="1"/>
    <col min="9992" max="9992" width="21.84375" style="80" customWidth="1"/>
    <col min="9993" max="9993" width="2.15234375" style="80" customWidth="1"/>
    <col min="9994" max="9994" width="29.53515625" style="80" customWidth="1"/>
    <col min="9995" max="9996" width="12.84375" style="80" bestFit="1" customWidth="1"/>
    <col min="9997" max="9997" width="0" style="80" hidden="1" customWidth="1"/>
    <col min="9998" max="10240" width="9.15234375" style="80"/>
    <col min="10241" max="10241" width="40.84375" style="80" customWidth="1"/>
    <col min="10242" max="10242" width="5.84375" style="80" customWidth="1"/>
    <col min="10243" max="10243" width="20.84375" style="80" customWidth="1"/>
    <col min="10244" max="10244" width="4.69140625" style="80" customWidth="1"/>
    <col min="10245" max="10245" width="37" style="80" customWidth="1"/>
    <col min="10246" max="10246" width="6" style="80" bestFit="1" customWidth="1"/>
    <col min="10247" max="10247" width="19.53515625" style="80" customWidth="1"/>
    <col min="10248" max="10248" width="21.84375" style="80" customWidth="1"/>
    <col min="10249" max="10249" width="2.15234375" style="80" customWidth="1"/>
    <col min="10250" max="10250" width="29.53515625" style="80" customWidth="1"/>
    <col min="10251" max="10252" width="12.84375" style="80" bestFit="1" customWidth="1"/>
    <col min="10253" max="10253" width="0" style="80" hidden="1" customWidth="1"/>
    <col min="10254" max="10496" width="9.15234375" style="80"/>
    <col min="10497" max="10497" width="40.84375" style="80" customWidth="1"/>
    <col min="10498" max="10498" width="5.84375" style="80" customWidth="1"/>
    <col min="10499" max="10499" width="20.84375" style="80" customWidth="1"/>
    <col min="10500" max="10500" width="4.69140625" style="80" customWidth="1"/>
    <col min="10501" max="10501" width="37" style="80" customWidth="1"/>
    <col min="10502" max="10502" width="6" style="80" bestFit="1" customWidth="1"/>
    <col min="10503" max="10503" width="19.53515625" style="80" customWidth="1"/>
    <col min="10504" max="10504" width="21.84375" style="80" customWidth="1"/>
    <col min="10505" max="10505" width="2.15234375" style="80" customWidth="1"/>
    <col min="10506" max="10506" width="29.53515625" style="80" customWidth="1"/>
    <col min="10507" max="10508" width="12.84375" style="80" bestFit="1" customWidth="1"/>
    <col min="10509" max="10509" width="0" style="80" hidden="1" customWidth="1"/>
    <col min="10510" max="10752" width="9.15234375" style="80"/>
    <col min="10753" max="10753" width="40.84375" style="80" customWidth="1"/>
    <col min="10754" max="10754" width="5.84375" style="80" customWidth="1"/>
    <col min="10755" max="10755" width="20.84375" style="80" customWidth="1"/>
    <col min="10756" max="10756" width="4.69140625" style="80" customWidth="1"/>
    <col min="10757" max="10757" width="37" style="80" customWidth="1"/>
    <col min="10758" max="10758" width="6" style="80" bestFit="1" customWidth="1"/>
    <col min="10759" max="10759" width="19.53515625" style="80" customWidth="1"/>
    <col min="10760" max="10760" width="21.84375" style="80" customWidth="1"/>
    <col min="10761" max="10761" width="2.15234375" style="80" customWidth="1"/>
    <col min="10762" max="10762" width="29.53515625" style="80" customWidth="1"/>
    <col min="10763" max="10764" width="12.84375" style="80" bestFit="1" customWidth="1"/>
    <col min="10765" max="10765" width="0" style="80" hidden="1" customWidth="1"/>
    <col min="10766" max="11008" width="9.15234375" style="80"/>
    <col min="11009" max="11009" width="40.84375" style="80" customWidth="1"/>
    <col min="11010" max="11010" width="5.84375" style="80" customWidth="1"/>
    <col min="11011" max="11011" width="20.84375" style="80" customWidth="1"/>
    <col min="11012" max="11012" width="4.69140625" style="80" customWidth="1"/>
    <col min="11013" max="11013" width="37" style="80" customWidth="1"/>
    <col min="11014" max="11014" width="6" style="80" bestFit="1" customWidth="1"/>
    <col min="11015" max="11015" width="19.53515625" style="80" customWidth="1"/>
    <col min="11016" max="11016" width="21.84375" style="80" customWidth="1"/>
    <col min="11017" max="11017" width="2.15234375" style="80" customWidth="1"/>
    <col min="11018" max="11018" width="29.53515625" style="80" customWidth="1"/>
    <col min="11019" max="11020" width="12.84375" style="80" bestFit="1" customWidth="1"/>
    <col min="11021" max="11021" width="0" style="80" hidden="1" customWidth="1"/>
    <col min="11022" max="11264" width="9.15234375" style="80"/>
    <col min="11265" max="11265" width="40.84375" style="80" customWidth="1"/>
    <col min="11266" max="11266" width="5.84375" style="80" customWidth="1"/>
    <col min="11267" max="11267" width="20.84375" style="80" customWidth="1"/>
    <col min="11268" max="11268" width="4.69140625" style="80" customWidth="1"/>
    <col min="11269" max="11269" width="37" style="80" customWidth="1"/>
    <col min="11270" max="11270" width="6" style="80" bestFit="1" customWidth="1"/>
    <col min="11271" max="11271" width="19.53515625" style="80" customWidth="1"/>
    <col min="11272" max="11272" width="21.84375" style="80" customWidth="1"/>
    <col min="11273" max="11273" width="2.15234375" style="80" customWidth="1"/>
    <col min="11274" max="11274" width="29.53515625" style="80" customWidth="1"/>
    <col min="11275" max="11276" width="12.84375" style="80" bestFit="1" customWidth="1"/>
    <col min="11277" max="11277" width="0" style="80" hidden="1" customWidth="1"/>
    <col min="11278" max="11520" width="9.15234375" style="80"/>
    <col min="11521" max="11521" width="40.84375" style="80" customWidth="1"/>
    <col min="11522" max="11522" width="5.84375" style="80" customWidth="1"/>
    <col min="11523" max="11523" width="20.84375" style="80" customWidth="1"/>
    <col min="11524" max="11524" width="4.69140625" style="80" customWidth="1"/>
    <col min="11525" max="11525" width="37" style="80" customWidth="1"/>
    <col min="11526" max="11526" width="6" style="80" bestFit="1" customWidth="1"/>
    <col min="11527" max="11527" width="19.53515625" style="80" customWidth="1"/>
    <col min="11528" max="11528" width="21.84375" style="80" customWidth="1"/>
    <col min="11529" max="11529" width="2.15234375" style="80" customWidth="1"/>
    <col min="11530" max="11530" width="29.53515625" style="80" customWidth="1"/>
    <col min="11531" max="11532" width="12.84375" style="80" bestFit="1" customWidth="1"/>
    <col min="11533" max="11533" width="0" style="80" hidden="1" customWidth="1"/>
    <col min="11534" max="11776" width="9.15234375" style="80"/>
    <col min="11777" max="11777" width="40.84375" style="80" customWidth="1"/>
    <col min="11778" max="11778" width="5.84375" style="80" customWidth="1"/>
    <col min="11779" max="11779" width="20.84375" style="80" customWidth="1"/>
    <col min="11780" max="11780" width="4.69140625" style="80" customWidth="1"/>
    <col min="11781" max="11781" width="37" style="80" customWidth="1"/>
    <col min="11782" max="11782" width="6" style="80" bestFit="1" customWidth="1"/>
    <col min="11783" max="11783" width="19.53515625" style="80" customWidth="1"/>
    <col min="11784" max="11784" width="21.84375" style="80" customWidth="1"/>
    <col min="11785" max="11785" width="2.15234375" style="80" customWidth="1"/>
    <col min="11786" max="11786" width="29.53515625" style="80" customWidth="1"/>
    <col min="11787" max="11788" width="12.84375" style="80" bestFit="1" customWidth="1"/>
    <col min="11789" max="11789" width="0" style="80" hidden="1" customWidth="1"/>
    <col min="11790" max="12032" width="9.15234375" style="80"/>
    <col min="12033" max="12033" width="40.84375" style="80" customWidth="1"/>
    <col min="12034" max="12034" width="5.84375" style="80" customWidth="1"/>
    <col min="12035" max="12035" width="20.84375" style="80" customWidth="1"/>
    <col min="12036" max="12036" width="4.69140625" style="80" customWidth="1"/>
    <col min="12037" max="12037" width="37" style="80" customWidth="1"/>
    <col min="12038" max="12038" width="6" style="80" bestFit="1" customWidth="1"/>
    <col min="12039" max="12039" width="19.53515625" style="80" customWidth="1"/>
    <col min="12040" max="12040" width="21.84375" style="80" customWidth="1"/>
    <col min="12041" max="12041" width="2.15234375" style="80" customWidth="1"/>
    <col min="12042" max="12042" width="29.53515625" style="80" customWidth="1"/>
    <col min="12043" max="12044" width="12.84375" style="80" bestFit="1" customWidth="1"/>
    <col min="12045" max="12045" width="0" style="80" hidden="1" customWidth="1"/>
    <col min="12046" max="12288" width="9.15234375" style="80"/>
    <col min="12289" max="12289" width="40.84375" style="80" customWidth="1"/>
    <col min="12290" max="12290" width="5.84375" style="80" customWidth="1"/>
    <col min="12291" max="12291" width="20.84375" style="80" customWidth="1"/>
    <col min="12292" max="12292" width="4.69140625" style="80" customWidth="1"/>
    <col min="12293" max="12293" width="37" style="80" customWidth="1"/>
    <col min="12294" max="12294" width="6" style="80" bestFit="1" customWidth="1"/>
    <col min="12295" max="12295" width="19.53515625" style="80" customWidth="1"/>
    <col min="12296" max="12296" width="21.84375" style="80" customWidth="1"/>
    <col min="12297" max="12297" width="2.15234375" style="80" customWidth="1"/>
    <col min="12298" max="12298" width="29.53515625" style="80" customWidth="1"/>
    <col min="12299" max="12300" width="12.84375" style="80" bestFit="1" customWidth="1"/>
    <col min="12301" max="12301" width="0" style="80" hidden="1" customWidth="1"/>
    <col min="12302" max="12544" width="9.15234375" style="80"/>
    <col min="12545" max="12545" width="40.84375" style="80" customWidth="1"/>
    <col min="12546" max="12546" width="5.84375" style="80" customWidth="1"/>
    <col min="12547" max="12547" width="20.84375" style="80" customWidth="1"/>
    <col min="12548" max="12548" width="4.69140625" style="80" customWidth="1"/>
    <col min="12549" max="12549" width="37" style="80" customWidth="1"/>
    <col min="12550" max="12550" width="6" style="80" bestFit="1" customWidth="1"/>
    <col min="12551" max="12551" width="19.53515625" style="80" customWidth="1"/>
    <col min="12552" max="12552" width="21.84375" style="80" customWidth="1"/>
    <col min="12553" max="12553" width="2.15234375" style="80" customWidth="1"/>
    <col min="12554" max="12554" width="29.53515625" style="80" customWidth="1"/>
    <col min="12555" max="12556" width="12.84375" style="80" bestFit="1" customWidth="1"/>
    <col min="12557" max="12557" width="0" style="80" hidden="1" customWidth="1"/>
    <col min="12558" max="12800" width="9.15234375" style="80"/>
    <col min="12801" max="12801" width="40.84375" style="80" customWidth="1"/>
    <col min="12802" max="12802" width="5.84375" style="80" customWidth="1"/>
    <col min="12803" max="12803" width="20.84375" style="80" customWidth="1"/>
    <col min="12804" max="12804" width="4.69140625" style="80" customWidth="1"/>
    <col min="12805" max="12805" width="37" style="80" customWidth="1"/>
    <col min="12806" max="12806" width="6" style="80" bestFit="1" customWidth="1"/>
    <col min="12807" max="12807" width="19.53515625" style="80" customWidth="1"/>
    <col min="12808" max="12808" width="21.84375" style="80" customWidth="1"/>
    <col min="12809" max="12809" width="2.15234375" style="80" customWidth="1"/>
    <col min="12810" max="12810" width="29.53515625" style="80" customWidth="1"/>
    <col min="12811" max="12812" width="12.84375" style="80" bestFit="1" customWidth="1"/>
    <col min="12813" max="12813" width="0" style="80" hidden="1" customWidth="1"/>
    <col min="12814" max="13056" width="9.15234375" style="80"/>
    <col min="13057" max="13057" width="40.84375" style="80" customWidth="1"/>
    <col min="13058" max="13058" width="5.84375" style="80" customWidth="1"/>
    <col min="13059" max="13059" width="20.84375" style="80" customWidth="1"/>
    <col min="13060" max="13060" width="4.69140625" style="80" customWidth="1"/>
    <col min="13061" max="13061" width="37" style="80" customWidth="1"/>
    <col min="13062" max="13062" width="6" style="80" bestFit="1" customWidth="1"/>
    <col min="13063" max="13063" width="19.53515625" style="80" customWidth="1"/>
    <col min="13064" max="13064" width="21.84375" style="80" customWidth="1"/>
    <col min="13065" max="13065" width="2.15234375" style="80" customWidth="1"/>
    <col min="13066" max="13066" width="29.53515625" style="80" customWidth="1"/>
    <col min="13067" max="13068" width="12.84375" style="80" bestFit="1" customWidth="1"/>
    <col min="13069" max="13069" width="0" style="80" hidden="1" customWidth="1"/>
    <col min="13070" max="13312" width="9.15234375" style="80"/>
    <col min="13313" max="13313" width="40.84375" style="80" customWidth="1"/>
    <col min="13314" max="13314" width="5.84375" style="80" customWidth="1"/>
    <col min="13315" max="13315" width="20.84375" style="80" customWidth="1"/>
    <col min="13316" max="13316" width="4.69140625" style="80" customWidth="1"/>
    <col min="13317" max="13317" width="37" style="80" customWidth="1"/>
    <col min="13318" max="13318" width="6" style="80" bestFit="1" customWidth="1"/>
    <col min="13319" max="13319" width="19.53515625" style="80" customWidth="1"/>
    <col min="13320" max="13320" width="21.84375" style="80" customWidth="1"/>
    <col min="13321" max="13321" width="2.15234375" style="80" customWidth="1"/>
    <col min="13322" max="13322" width="29.53515625" style="80" customWidth="1"/>
    <col min="13323" max="13324" width="12.84375" style="80" bestFit="1" customWidth="1"/>
    <col min="13325" max="13325" width="0" style="80" hidden="1" customWidth="1"/>
    <col min="13326" max="13568" width="9.15234375" style="80"/>
    <col min="13569" max="13569" width="40.84375" style="80" customWidth="1"/>
    <col min="13570" max="13570" width="5.84375" style="80" customWidth="1"/>
    <col min="13571" max="13571" width="20.84375" style="80" customWidth="1"/>
    <col min="13572" max="13572" width="4.69140625" style="80" customWidth="1"/>
    <col min="13573" max="13573" width="37" style="80" customWidth="1"/>
    <col min="13574" max="13574" width="6" style="80" bestFit="1" customWidth="1"/>
    <col min="13575" max="13575" width="19.53515625" style="80" customWidth="1"/>
    <col min="13576" max="13576" width="21.84375" style="80" customWidth="1"/>
    <col min="13577" max="13577" width="2.15234375" style="80" customWidth="1"/>
    <col min="13578" max="13578" width="29.53515625" style="80" customWidth="1"/>
    <col min="13579" max="13580" width="12.84375" style="80" bestFit="1" customWidth="1"/>
    <col min="13581" max="13581" width="0" style="80" hidden="1" customWidth="1"/>
    <col min="13582" max="13824" width="9.15234375" style="80"/>
    <col min="13825" max="13825" width="40.84375" style="80" customWidth="1"/>
    <col min="13826" max="13826" width="5.84375" style="80" customWidth="1"/>
    <col min="13827" max="13827" width="20.84375" style="80" customWidth="1"/>
    <col min="13828" max="13828" width="4.69140625" style="80" customWidth="1"/>
    <col min="13829" max="13829" width="37" style="80" customWidth="1"/>
    <col min="13830" max="13830" width="6" style="80" bestFit="1" customWidth="1"/>
    <col min="13831" max="13831" width="19.53515625" style="80" customWidth="1"/>
    <col min="13832" max="13832" width="21.84375" style="80" customWidth="1"/>
    <col min="13833" max="13833" width="2.15234375" style="80" customWidth="1"/>
    <col min="13834" max="13834" width="29.53515625" style="80" customWidth="1"/>
    <col min="13835" max="13836" width="12.84375" style="80" bestFit="1" customWidth="1"/>
    <col min="13837" max="13837" width="0" style="80" hidden="1" customWidth="1"/>
    <col min="13838" max="14080" width="9.15234375" style="80"/>
    <col min="14081" max="14081" width="40.84375" style="80" customWidth="1"/>
    <col min="14082" max="14082" width="5.84375" style="80" customWidth="1"/>
    <col min="14083" max="14083" width="20.84375" style="80" customWidth="1"/>
    <col min="14084" max="14084" width="4.69140625" style="80" customWidth="1"/>
    <col min="14085" max="14085" width="37" style="80" customWidth="1"/>
    <col min="14086" max="14086" width="6" style="80" bestFit="1" customWidth="1"/>
    <col min="14087" max="14087" width="19.53515625" style="80" customWidth="1"/>
    <col min="14088" max="14088" width="21.84375" style="80" customWidth="1"/>
    <col min="14089" max="14089" width="2.15234375" style="80" customWidth="1"/>
    <col min="14090" max="14090" width="29.53515625" style="80" customWidth="1"/>
    <col min="14091" max="14092" width="12.84375" style="80" bestFit="1" customWidth="1"/>
    <col min="14093" max="14093" width="0" style="80" hidden="1" customWidth="1"/>
    <col min="14094" max="14336" width="9.15234375" style="80"/>
    <col min="14337" max="14337" width="40.84375" style="80" customWidth="1"/>
    <col min="14338" max="14338" width="5.84375" style="80" customWidth="1"/>
    <col min="14339" max="14339" width="20.84375" style="80" customWidth="1"/>
    <col min="14340" max="14340" width="4.69140625" style="80" customWidth="1"/>
    <col min="14341" max="14341" width="37" style="80" customWidth="1"/>
    <col min="14342" max="14342" width="6" style="80" bestFit="1" customWidth="1"/>
    <col min="14343" max="14343" width="19.53515625" style="80" customWidth="1"/>
    <col min="14344" max="14344" width="21.84375" style="80" customWidth="1"/>
    <col min="14345" max="14345" width="2.15234375" style="80" customWidth="1"/>
    <col min="14346" max="14346" width="29.53515625" style="80" customWidth="1"/>
    <col min="14347" max="14348" width="12.84375" style="80" bestFit="1" customWidth="1"/>
    <col min="14349" max="14349" width="0" style="80" hidden="1" customWidth="1"/>
    <col min="14350" max="14592" width="9.15234375" style="80"/>
    <col min="14593" max="14593" width="40.84375" style="80" customWidth="1"/>
    <col min="14594" max="14594" width="5.84375" style="80" customWidth="1"/>
    <col min="14595" max="14595" width="20.84375" style="80" customWidth="1"/>
    <col min="14596" max="14596" width="4.69140625" style="80" customWidth="1"/>
    <col min="14597" max="14597" width="37" style="80" customWidth="1"/>
    <col min="14598" max="14598" width="6" style="80" bestFit="1" customWidth="1"/>
    <col min="14599" max="14599" width="19.53515625" style="80" customWidth="1"/>
    <col min="14600" max="14600" width="21.84375" style="80" customWidth="1"/>
    <col min="14601" max="14601" width="2.15234375" style="80" customWidth="1"/>
    <col min="14602" max="14602" width="29.53515625" style="80" customWidth="1"/>
    <col min="14603" max="14604" width="12.84375" style="80" bestFit="1" customWidth="1"/>
    <col min="14605" max="14605" width="0" style="80" hidden="1" customWidth="1"/>
    <col min="14606" max="14848" width="9.15234375" style="80"/>
    <col min="14849" max="14849" width="40.84375" style="80" customWidth="1"/>
    <col min="14850" max="14850" width="5.84375" style="80" customWidth="1"/>
    <col min="14851" max="14851" width="20.84375" style="80" customWidth="1"/>
    <col min="14852" max="14852" width="4.69140625" style="80" customWidth="1"/>
    <col min="14853" max="14853" width="37" style="80" customWidth="1"/>
    <col min="14854" max="14854" width="6" style="80" bestFit="1" customWidth="1"/>
    <col min="14855" max="14855" width="19.53515625" style="80" customWidth="1"/>
    <col min="14856" max="14856" width="21.84375" style="80" customWidth="1"/>
    <col min="14857" max="14857" width="2.15234375" style="80" customWidth="1"/>
    <col min="14858" max="14858" width="29.53515625" style="80" customWidth="1"/>
    <col min="14859" max="14860" width="12.84375" style="80" bestFit="1" customWidth="1"/>
    <col min="14861" max="14861" width="0" style="80" hidden="1" customWidth="1"/>
    <col min="14862" max="15104" width="9.15234375" style="80"/>
    <col min="15105" max="15105" width="40.84375" style="80" customWidth="1"/>
    <col min="15106" max="15106" width="5.84375" style="80" customWidth="1"/>
    <col min="15107" max="15107" width="20.84375" style="80" customWidth="1"/>
    <col min="15108" max="15108" width="4.69140625" style="80" customWidth="1"/>
    <col min="15109" max="15109" width="37" style="80" customWidth="1"/>
    <col min="15110" max="15110" width="6" style="80" bestFit="1" customWidth="1"/>
    <col min="15111" max="15111" width="19.53515625" style="80" customWidth="1"/>
    <col min="15112" max="15112" width="21.84375" style="80" customWidth="1"/>
    <col min="15113" max="15113" width="2.15234375" style="80" customWidth="1"/>
    <col min="15114" max="15114" width="29.53515625" style="80" customWidth="1"/>
    <col min="15115" max="15116" width="12.84375" style="80" bestFit="1" customWidth="1"/>
    <col min="15117" max="15117" width="0" style="80" hidden="1" customWidth="1"/>
    <col min="15118" max="15360" width="9.15234375" style="80"/>
    <col min="15361" max="15361" width="40.84375" style="80" customWidth="1"/>
    <col min="15362" max="15362" width="5.84375" style="80" customWidth="1"/>
    <col min="15363" max="15363" width="20.84375" style="80" customWidth="1"/>
    <col min="15364" max="15364" width="4.69140625" style="80" customWidth="1"/>
    <col min="15365" max="15365" width="37" style="80" customWidth="1"/>
    <col min="15366" max="15366" width="6" style="80" bestFit="1" customWidth="1"/>
    <col min="15367" max="15367" width="19.53515625" style="80" customWidth="1"/>
    <col min="15368" max="15368" width="21.84375" style="80" customWidth="1"/>
    <col min="15369" max="15369" width="2.15234375" style="80" customWidth="1"/>
    <col min="15370" max="15370" width="29.53515625" style="80" customWidth="1"/>
    <col min="15371" max="15372" width="12.84375" style="80" bestFit="1" customWidth="1"/>
    <col min="15373" max="15373" width="0" style="80" hidden="1" customWidth="1"/>
    <col min="15374" max="15616" width="9.15234375" style="80"/>
    <col min="15617" max="15617" width="40.84375" style="80" customWidth="1"/>
    <col min="15618" max="15618" width="5.84375" style="80" customWidth="1"/>
    <col min="15619" max="15619" width="20.84375" style="80" customWidth="1"/>
    <col min="15620" max="15620" width="4.69140625" style="80" customWidth="1"/>
    <col min="15621" max="15621" width="37" style="80" customWidth="1"/>
    <col min="15622" max="15622" width="6" style="80" bestFit="1" customWidth="1"/>
    <col min="15623" max="15623" width="19.53515625" style="80" customWidth="1"/>
    <col min="15624" max="15624" width="21.84375" style="80" customWidth="1"/>
    <col min="15625" max="15625" width="2.15234375" style="80" customWidth="1"/>
    <col min="15626" max="15626" width="29.53515625" style="80" customWidth="1"/>
    <col min="15627" max="15628" width="12.84375" style="80" bestFit="1" customWidth="1"/>
    <col min="15629" max="15629" width="0" style="80" hidden="1" customWidth="1"/>
    <col min="15630" max="15872" width="9.15234375" style="80"/>
    <col min="15873" max="15873" width="40.84375" style="80" customWidth="1"/>
    <col min="15874" max="15874" width="5.84375" style="80" customWidth="1"/>
    <col min="15875" max="15875" width="20.84375" style="80" customWidth="1"/>
    <col min="15876" max="15876" width="4.69140625" style="80" customWidth="1"/>
    <col min="15877" max="15877" width="37" style="80" customWidth="1"/>
    <col min="15878" max="15878" width="6" style="80" bestFit="1" customWidth="1"/>
    <col min="15879" max="15879" width="19.53515625" style="80" customWidth="1"/>
    <col min="15880" max="15880" width="21.84375" style="80" customWidth="1"/>
    <col min="15881" max="15881" width="2.15234375" style="80" customWidth="1"/>
    <col min="15882" max="15882" width="29.53515625" style="80" customWidth="1"/>
    <col min="15883" max="15884" width="12.84375" style="80" bestFit="1" customWidth="1"/>
    <col min="15885" max="15885" width="0" style="80" hidden="1" customWidth="1"/>
    <col min="15886" max="16128" width="9.15234375" style="80"/>
    <col min="16129" max="16129" width="40.84375" style="80" customWidth="1"/>
    <col min="16130" max="16130" width="5.84375" style="80" customWidth="1"/>
    <col min="16131" max="16131" width="20.84375" style="80" customWidth="1"/>
    <col min="16132" max="16132" width="4.69140625" style="80" customWidth="1"/>
    <col min="16133" max="16133" width="37" style="80" customWidth="1"/>
    <col min="16134" max="16134" width="6" style="80" bestFit="1" customWidth="1"/>
    <col min="16135" max="16135" width="19.53515625" style="80" customWidth="1"/>
    <col min="16136" max="16136" width="21.84375" style="80" customWidth="1"/>
    <col min="16137" max="16137" width="2.15234375" style="80" customWidth="1"/>
    <col min="16138" max="16138" width="29.53515625" style="80" customWidth="1"/>
    <col min="16139" max="16140" width="12.84375" style="80" bestFit="1" customWidth="1"/>
    <col min="16141" max="16141" width="0" style="80" hidden="1" customWidth="1"/>
    <col min="16142" max="16384" width="9.15234375" style="80"/>
  </cols>
  <sheetData>
    <row r="1" spans="1:11" ht="57" customHeight="1" x14ac:dyDescent="0.55000000000000004">
      <c r="A1" s="76" t="s">
        <v>286</v>
      </c>
      <c r="B1" s="77"/>
      <c r="C1" s="77"/>
      <c r="D1" s="77"/>
      <c r="E1" s="77"/>
      <c r="F1" s="77"/>
      <c r="G1" s="77"/>
      <c r="H1" s="77"/>
    </row>
    <row r="2" spans="1:11" ht="36.75" customHeight="1" x14ac:dyDescent="0.5">
      <c r="A2" s="78" t="s">
        <v>287</v>
      </c>
      <c r="B2" s="79"/>
      <c r="C2" s="79"/>
      <c r="D2" s="79"/>
      <c r="E2" s="79"/>
      <c r="F2" s="79"/>
      <c r="G2" s="79"/>
      <c r="H2" s="79"/>
    </row>
    <row r="3" spans="1:11" ht="20.6" x14ac:dyDescent="0.55000000000000004">
      <c r="A3" s="76" t="s">
        <v>288</v>
      </c>
      <c r="B3" s="77"/>
      <c r="C3" s="77"/>
      <c r="D3" s="77"/>
      <c r="E3" s="77"/>
      <c r="F3" s="77"/>
      <c r="G3" s="77"/>
      <c r="H3" s="77"/>
    </row>
    <row r="4" spans="1:11" ht="20.6" x14ac:dyDescent="0.55000000000000004">
      <c r="A4" s="76" t="s">
        <v>289</v>
      </c>
      <c r="B4" s="77"/>
      <c r="C4" s="77"/>
      <c r="D4" s="77"/>
      <c r="E4" s="77"/>
      <c r="F4" s="77"/>
      <c r="G4" s="77"/>
      <c r="H4" s="77"/>
    </row>
    <row r="5" spans="1:11" ht="35.25" customHeight="1" x14ac:dyDescent="0.4">
      <c r="E5" s="82" t="s">
        <v>290</v>
      </c>
      <c r="F5" s="82"/>
    </row>
    <row r="6" spans="1:11" ht="18.45" x14ac:dyDescent="0.5">
      <c r="A6" s="83" t="s">
        <v>291</v>
      </c>
      <c r="B6" s="83"/>
      <c r="C6" s="83"/>
      <c r="D6" s="83"/>
      <c r="E6" s="83"/>
      <c r="F6" s="83"/>
      <c r="G6" s="83"/>
      <c r="H6" s="83"/>
    </row>
    <row r="8" spans="1:11" ht="26.15" x14ac:dyDescent="0.7">
      <c r="A8" s="85" t="s">
        <v>292</v>
      </c>
      <c r="E8" s="86" t="s">
        <v>293</v>
      </c>
      <c r="F8" s="87"/>
      <c r="H8" s="88"/>
    </row>
    <row r="9" spans="1:11" ht="26.15" x14ac:dyDescent="0.7">
      <c r="A9" s="89" t="s">
        <v>294</v>
      </c>
      <c r="E9" s="86" t="s">
        <v>295</v>
      </c>
      <c r="G9" s="88"/>
      <c r="H9" s="88"/>
    </row>
    <row r="10" spans="1:11" ht="26.15" x14ac:dyDescent="0.7">
      <c r="A10" s="90" t="s">
        <v>296</v>
      </c>
      <c r="C10" s="88"/>
      <c r="E10" s="91" t="s">
        <v>250</v>
      </c>
      <c r="G10" s="88"/>
      <c r="H10" s="88"/>
    </row>
    <row r="11" spans="1:11" ht="26.15" x14ac:dyDescent="0.7">
      <c r="A11" s="85" t="s">
        <v>297</v>
      </c>
      <c r="C11" s="88"/>
      <c r="E11" s="91" t="s">
        <v>298</v>
      </c>
      <c r="G11" s="88"/>
      <c r="H11" s="88"/>
    </row>
    <row r="12" spans="1:11" ht="26.15" x14ac:dyDescent="0.7">
      <c r="E12" s="92"/>
      <c r="K12" s="84"/>
    </row>
    <row r="13" spans="1:11" ht="18.45" x14ac:dyDescent="0.5">
      <c r="A13" s="93" t="s">
        <v>299</v>
      </c>
      <c r="B13" s="93"/>
      <c r="C13" s="93"/>
      <c r="E13" s="94" t="s">
        <v>300</v>
      </c>
      <c r="F13" s="95" t="s">
        <v>301</v>
      </c>
      <c r="G13" s="95"/>
      <c r="H13" s="95"/>
    </row>
    <row r="15" spans="1:11" ht="18.45" x14ac:dyDescent="0.5">
      <c r="A15" s="83" t="s">
        <v>302</v>
      </c>
      <c r="B15" s="83"/>
      <c r="C15" s="83"/>
      <c r="D15" s="83"/>
      <c r="E15" s="83"/>
      <c r="F15" s="83"/>
      <c r="G15" s="83"/>
      <c r="H15" s="83"/>
    </row>
    <row r="17" spans="1:8" x14ac:dyDescent="0.4">
      <c r="A17" s="96" t="s">
        <v>303</v>
      </c>
      <c r="B17" s="96"/>
      <c r="C17" s="96"/>
      <c r="D17" s="96"/>
      <c r="E17" s="96"/>
      <c r="F17" s="96"/>
      <c r="G17" s="96"/>
      <c r="H17" s="96"/>
    </row>
    <row r="19" spans="1:8" ht="18.45" x14ac:dyDescent="0.5">
      <c r="A19" s="97" t="s">
        <v>304</v>
      </c>
      <c r="B19" s="97"/>
      <c r="C19" s="97"/>
      <c r="D19" s="97"/>
      <c r="E19" s="97"/>
      <c r="F19" s="97"/>
      <c r="G19" s="97"/>
      <c r="H19" s="97"/>
    </row>
    <row r="20" spans="1:8" ht="39.75" customHeight="1" x14ac:dyDescent="0.4">
      <c r="A20" s="98" t="s">
        <v>305</v>
      </c>
      <c r="B20" s="99">
        <v>5</v>
      </c>
      <c r="C20" s="100">
        <v>0</v>
      </c>
      <c r="D20" s="101"/>
      <c r="E20" s="98" t="s">
        <v>306</v>
      </c>
      <c r="F20" s="99">
        <v>10</v>
      </c>
      <c r="G20" s="100">
        <f>+C20*0.15</f>
        <v>0</v>
      </c>
      <c r="H20" s="101"/>
    </row>
    <row r="21" spans="1:8" ht="39.75" customHeight="1" x14ac:dyDescent="0.4">
      <c r="A21" s="98" t="s">
        <v>307</v>
      </c>
      <c r="B21" s="99">
        <v>15</v>
      </c>
      <c r="C21" s="100">
        <v>0</v>
      </c>
      <c r="D21" s="101"/>
      <c r="E21" s="102"/>
      <c r="F21" s="103"/>
      <c r="G21" s="103"/>
      <c r="H21" s="104"/>
    </row>
    <row r="22" spans="1:8" ht="39.75" customHeight="1" x14ac:dyDescent="0.4">
      <c r="A22" s="98" t="s">
        <v>308</v>
      </c>
      <c r="B22" s="99">
        <v>20</v>
      </c>
      <c r="C22" s="100">
        <v>0</v>
      </c>
      <c r="D22" s="101"/>
      <c r="E22" s="102"/>
      <c r="F22" s="103"/>
      <c r="G22" s="103"/>
      <c r="H22" s="104"/>
    </row>
    <row r="23" spans="1:8" ht="39.75" customHeight="1" x14ac:dyDescent="0.4">
      <c r="A23" s="98" t="s">
        <v>309</v>
      </c>
      <c r="B23" s="99">
        <v>25</v>
      </c>
      <c r="C23" s="100">
        <v>0</v>
      </c>
      <c r="D23" s="101"/>
      <c r="E23" s="102"/>
      <c r="F23" s="103"/>
      <c r="G23" s="103"/>
      <c r="H23" s="104"/>
    </row>
    <row r="24" spans="1:8" ht="39.75" customHeight="1" x14ac:dyDescent="0.4">
      <c r="A24" s="102"/>
      <c r="B24" s="103"/>
      <c r="C24" s="103"/>
      <c r="D24" s="104"/>
      <c r="E24" s="98" t="s">
        <v>310</v>
      </c>
      <c r="F24" s="99">
        <v>30</v>
      </c>
      <c r="G24" s="100">
        <v>0</v>
      </c>
      <c r="H24" s="101"/>
    </row>
    <row r="25" spans="1:8" ht="39.75" customHeight="1" x14ac:dyDescent="0.4">
      <c r="A25" s="98" t="s">
        <v>311</v>
      </c>
      <c r="B25" s="99">
        <v>35</v>
      </c>
      <c r="C25" s="100">
        <v>0</v>
      </c>
      <c r="D25" s="101"/>
      <c r="E25" s="98" t="s">
        <v>312</v>
      </c>
      <c r="F25" s="99">
        <v>40</v>
      </c>
      <c r="G25" s="100">
        <v>0</v>
      </c>
      <c r="H25" s="101"/>
    </row>
    <row r="26" spans="1:8" ht="39.75" customHeight="1" x14ac:dyDescent="0.4">
      <c r="A26" s="98" t="s">
        <v>313</v>
      </c>
      <c r="B26" s="99">
        <v>45</v>
      </c>
      <c r="C26" s="100">
        <v>0</v>
      </c>
      <c r="D26" s="101"/>
      <c r="E26" s="98" t="s">
        <v>314</v>
      </c>
      <c r="F26" s="99">
        <v>50</v>
      </c>
      <c r="G26" s="100">
        <v>0</v>
      </c>
      <c r="H26" s="101"/>
    </row>
    <row r="27" spans="1:8" ht="36.9" x14ac:dyDescent="0.4">
      <c r="A27" s="105" t="s">
        <v>315</v>
      </c>
      <c r="B27" s="106">
        <v>55</v>
      </c>
      <c r="C27" s="107">
        <f>((C20+C21+C22+C23+C25)-C26)</f>
        <v>0</v>
      </c>
      <c r="D27" s="108"/>
      <c r="E27" s="105" t="s">
        <v>316</v>
      </c>
      <c r="F27" s="106">
        <v>60</v>
      </c>
      <c r="G27" s="107">
        <f>(G20+G24+G25)-G26</f>
        <v>0</v>
      </c>
      <c r="H27" s="108"/>
    </row>
    <row r="28" spans="1:8" ht="18.899999999999999" thickBot="1" x14ac:dyDescent="0.55000000000000004">
      <c r="A28" s="83" t="s">
        <v>317</v>
      </c>
      <c r="B28" s="83"/>
      <c r="C28" s="83"/>
      <c r="D28" s="83"/>
      <c r="E28" s="83"/>
      <c r="F28" s="83"/>
      <c r="G28" s="83"/>
      <c r="H28" s="83"/>
    </row>
    <row r="29" spans="1:8" ht="39.75" customHeight="1" x14ac:dyDescent="0.4">
      <c r="A29" s="109" t="s">
        <v>318</v>
      </c>
      <c r="B29" s="110">
        <v>65</v>
      </c>
      <c r="C29" s="111">
        <v>0</v>
      </c>
      <c r="D29" s="112"/>
      <c r="E29" s="113" t="s">
        <v>319</v>
      </c>
      <c r="F29" s="110">
        <v>70</v>
      </c>
      <c r="G29" s="111">
        <f>+C29*0.15</f>
        <v>0</v>
      </c>
      <c r="H29" s="114"/>
    </row>
    <row r="30" spans="1:8" ht="39.75" customHeight="1" x14ac:dyDescent="0.4">
      <c r="A30" s="115" t="s">
        <v>320</v>
      </c>
      <c r="B30" s="99">
        <v>75</v>
      </c>
      <c r="C30" s="100">
        <v>0</v>
      </c>
      <c r="D30" s="101"/>
      <c r="E30" s="98" t="s">
        <v>321</v>
      </c>
      <c r="F30" s="99">
        <v>80</v>
      </c>
      <c r="G30" s="100">
        <f>+C30*0.15</f>
        <v>0</v>
      </c>
      <c r="H30" s="116"/>
    </row>
    <row r="31" spans="1:8" ht="39.75" customHeight="1" x14ac:dyDescent="0.4">
      <c r="A31" s="115" t="s">
        <v>322</v>
      </c>
      <c r="B31" s="99">
        <v>85</v>
      </c>
      <c r="C31" s="100">
        <v>0</v>
      </c>
      <c r="D31" s="101"/>
      <c r="E31" s="102"/>
      <c r="F31" s="103"/>
      <c r="G31" s="103"/>
      <c r="H31" s="117"/>
    </row>
    <row r="32" spans="1:8" ht="39.75" customHeight="1" thickBot="1" x14ac:dyDescent="0.45">
      <c r="A32" s="118" t="s">
        <v>323</v>
      </c>
      <c r="B32" s="119">
        <v>90</v>
      </c>
      <c r="C32" s="120">
        <f>C29+C30+C31</f>
        <v>0</v>
      </c>
      <c r="D32" s="121"/>
      <c r="E32" s="122" t="s">
        <v>324</v>
      </c>
      <c r="F32" s="119">
        <v>95</v>
      </c>
      <c r="G32" s="120">
        <f>G29+G30</f>
        <v>0</v>
      </c>
      <c r="H32" s="123"/>
    </row>
    <row r="33" spans="1:11" ht="39.75" customHeight="1" x14ac:dyDescent="0.4">
      <c r="A33" s="109" t="s">
        <v>325</v>
      </c>
      <c r="B33" s="110">
        <v>100</v>
      </c>
      <c r="C33" s="111">
        <v>0</v>
      </c>
      <c r="D33" s="112"/>
      <c r="E33" s="113" t="s">
        <v>326</v>
      </c>
      <c r="F33" s="110">
        <v>105</v>
      </c>
      <c r="G33" s="111">
        <f>+C33*0.15</f>
        <v>0</v>
      </c>
      <c r="H33" s="114"/>
    </row>
    <row r="34" spans="1:11" ht="39.75" customHeight="1" x14ac:dyDescent="0.4">
      <c r="A34" s="115" t="s">
        <v>327</v>
      </c>
      <c r="B34" s="99">
        <v>110</v>
      </c>
      <c r="C34" s="100">
        <v>0</v>
      </c>
      <c r="D34" s="101"/>
      <c r="E34" s="98" t="s">
        <v>328</v>
      </c>
      <c r="F34" s="99">
        <v>115</v>
      </c>
      <c r="G34" s="100">
        <f>+C34*0.15</f>
        <v>0</v>
      </c>
      <c r="H34" s="116"/>
    </row>
    <row r="35" spans="1:11" ht="39.75" customHeight="1" x14ac:dyDescent="0.4">
      <c r="A35" s="115" t="s">
        <v>329</v>
      </c>
      <c r="B35" s="99">
        <v>120</v>
      </c>
      <c r="C35" s="100">
        <v>0</v>
      </c>
      <c r="D35" s="101"/>
      <c r="E35" s="98" t="s">
        <v>330</v>
      </c>
      <c r="F35" s="99">
        <v>125</v>
      </c>
      <c r="G35" s="100">
        <f>+C35*0.15</f>
        <v>0</v>
      </c>
      <c r="H35" s="116"/>
    </row>
    <row r="36" spans="1:11" ht="39.75" customHeight="1" x14ac:dyDescent="0.4">
      <c r="A36" s="115" t="s">
        <v>331</v>
      </c>
      <c r="B36" s="99">
        <v>130</v>
      </c>
      <c r="C36" s="100">
        <v>0</v>
      </c>
      <c r="D36" s="101"/>
      <c r="E36" s="102"/>
      <c r="F36" s="103"/>
      <c r="G36" s="103"/>
      <c r="H36" s="117"/>
    </row>
    <row r="37" spans="1:11" ht="39.75" customHeight="1" x14ac:dyDescent="0.4">
      <c r="A37" s="115" t="s">
        <v>332</v>
      </c>
      <c r="B37" s="99">
        <v>135</v>
      </c>
      <c r="C37" s="100">
        <v>0</v>
      </c>
      <c r="D37" s="101"/>
      <c r="E37" s="98" t="s">
        <v>333</v>
      </c>
      <c r="F37" s="99">
        <v>140</v>
      </c>
      <c r="G37" s="100">
        <f>+C37*0.15</f>
        <v>0</v>
      </c>
      <c r="H37" s="116"/>
    </row>
    <row r="38" spans="1:11" ht="39.75" customHeight="1" x14ac:dyDescent="0.4">
      <c r="A38" s="115" t="s">
        <v>334</v>
      </c>
      <c r="B38" s="99">
        <v>145</v>
      </c>
      <c r="C38" s="100">
        <v>0</v>
      </c>
      <c r="D38" s="101"/>
      <c r="E38" s="98" t="s">
        <v>335</v>
      </c>
      <c r="F38" s="99">
        <v>150</v>
      </c>
      <c r="G38" s="100">
        <f>+C38*0.15</f>
        <v>0</v>
      </c>
      <c r="H38" s="116"/>
      <c r="K38" s="124"/>
    </row>
    <row r="39" spans="1:11" ht="41.25" customHeight="1" x14ac:dyDescent="0.4">
      <c r="A39" s="115" t="s">
        <v>336</v>
      </c>
      <c r="B39" s="99">
        <v>155</v>
      </c>
      <c r="C39" s="100">
        <v>0</v>
      </c>
      <c r="D39" s="101"/>
      <c r="E39" s="98" t="s">
        <v>337</v>
      </c>
      <c r="F39" s="99">
        <v>160</v>
      </c>
      <c r="G39" s="100">
        <f>+C39*0.15</f>
        <v>0</v>
      </c>
      <c r="H39" s="116"/>
    </row>
    <row r="40" spans="1:11" s="127" customFormat="1" ht="36.9" x14ac:dyDescent="0.4">
      <c r="A40" s="125" t="s">
        <v>338</v>
      </c>
      <c r="B40" s="106">
        <v>165</v>
      </c>
      <c r="C40" s="107">
        <f>((C33+C34+C35+C36+C37+C38)-C39)</f>
        <v>0</v>
      </c>
      <c r="D40" s="108"/>
      <c r="E40" s="105" t="s">
        <v>339</v>
      </c>
      <c r="F40" s="106">
        <v>170</v>
      </c>
      <c r="G40" s="107">
        <f>((G33+G34+G35+G37+G38)-G39)</f>
        <v>0</v>
      </c>
      <c r="H40" s="126"/>
      <c r="J40" s="128"/>
    </row>
    <row r="41" spans="1:11" ht="42.75" customHeight="1" x14ac:dyDescent="0.4">
      <c r="A41" s="129" t="s">
        <v>340</v>
      </c>
      <c r="B41" s="130"/>
      <c r="C41" s="131"/>
      <c r="D41" s="132">
        <v>175</v>
      </c>
      <c r="E41" s="133">
        <v>0</v>
      </c>
      <c r="F41" s="134"/>
      <c r="G41" s="135"/>
      <c r="H41" s="136"/>
    </row>
    <row r="42" spans="1:11" ht="42.75" customHeight="1" x14ac:dyDescent="0.4">
      <c r="A42" s="129" t="s">
        <v>341</v>
      </c>
      <c r="B42" s="130"/>
      <c r="C42" s="131"/>
      <c r="D42" s="132">
        <v>180</v>
      </c>
      <c r="E42" s="137">
        <v>0</v>
      </c>
      <c r="F42" s="138"/>
      <c r="G42" s="139"/>
      <c r="H42" s="140"/>
    </row>
    <row r="43" spans="1:11" ht="42.75" customHeight="1" x14ac:dyDescent="0.4">
      <c r="A43" s="129" t="s">
        <v>342</v>
      </c>
      <c r="B43" s="130"/>
      <c r="C43" s="131"/>
      <c r="D43" s="132">
        <v>185</v>
      </c>
      <c r="E43" s="141">
        <f>G27-G32-G40-E41-E42</f>
        <v>0</v>
      </c>
      <c r="F43" s="138"/>
      <c r="G43" s="139"/>
      <c r="H43" s="140"/>
    </row>
    <row r="44" spans="1:11" ht="42.75" customHeight="1" x14ac:dyDescent="0.4">
      <c r="A44" s="142" t="s">
        <v>343</v>
      </c>
      <c r="B44" s="143"/>
      <c r="C44" s="144"/>
      <c r="D44" s="132">
        <v>190</v>
      </c>
      <c r="E44" s="141">
        <v>0</v>
      </c>
      <c r="F44" s="138"/>
      <c r="G44" s="139"/>
      <c r="H44" s="140"/>
    </row>
    <row r="45" spans="1:11" ht="42.75" customHeight="1" x14ac:dyDescent="0.4">
      <c r="A45" s="129" t="s">
        <v>344</v>
      </c>
      <c r="B45" s="130"/>
      <c r="C45" s="131"/>
      <c r="D45" s="132">
        <v>195</v>
      </c>
      <c r="E45" s="145">
        <v>0</v>
      </c>
      <c r="F45" s="138"/>
      <c r="G45" s="139"/>
      <c r="H45" s="140"/>
      <c r="K45" s="84"/>
    </row>
    <row r="46" spans="1:11" ht="40.5" customHeight="1" x14ac:dyDescent="0.4">
      <c r="A46" s="146" t="s">
        <v>345</v>
      </c>
      <c r="B46" s="147"/>
      <c r="C46" s="148"/>
      <c r="D46" s="149">
        <v>200</v>
      </c>
      <c r="E46" s="150">
        <f>E43-E45</f>
        <v>0</v>
      </c>
      <c r="F46" s="138"/>
      <c r="G46" s="139"/>
      <c r="H46" s="140"/>
      <c r="K46" s="84"/>
    </row>
    <row r="47" spans="1:11" ht="40.5" customHeight="1" thickBot="1" x14ac:dyDescent="0.45">
      <c r="A47" s="151" t="s">
        <v>346</v>
      </c>
      <c r="B47" s="152"/>
      <c r="C47" s="153"/>
      <c r="D47" s="154">
        <v>205</v>
      </c>
      <c r="E47" s="155">
        <v>0</v>
      </c>
      <c r="F47" s="156"/>
      <c r="G47" s="157"/>
      <c r="H47" s="158"/>
      <c r="K47" s="84"/>
    </row>
    <row r="48" spans="1:11" ht="27" customHeight="1" x14ac:dyDescent="0.4">
      <c r="A48" s="159" t="s">
        <v>347</v>
      </c>
      <c r="B48" s="159"/>
      <c r="C48" s="159"/>
      <c r="D48" s="159"/>
      <c r="E48" s="159"/>
      <c r="F48" s="159"/>
      <c r="G48" s="159"/>
      <c r="H48" s="159"/>
      <c r="K48" s="84"/>
    </row>
    <row r="49" spans="1:11" ht="30" customHeight="1" x14ac:dyDescent="0.4">
      <c r="A49" s="160" t="s">
        <v>348</v>
      </c>
      <c r="B49" s="161"/>
      <c r="C49" s="161"/>
      <c r="D49" s="161"/>
      <c r="E49" s="161"/>
      <c r="F49" s="161"/>
      <c r="G49" s="161"/>
      <c r="H49" s="162"/>
      <c r="K49" s="84"/>
    </row>
    <row r="50" spans="1:11" ht="30" customHeight="1" x14ac:dyDescent="0.6">
      <c r="A50" s="163"/>
      <c r="B50" s="164"/>
      <c r="C50" s="165"/>
      <c r="D50" s="164"/>
      <c r="E50" s="165"/>
      <c r="F50" s="164"/>
      <c r="G50" s="166" t="s">
        <v>349</v>
      </c>
      <c r="H50" s="167"/>
    </row>
    <row r="51" spans="1:11" s="172" customFormat="1" ht="30" customHeight="1" x14ac:dyDescent="0.4">
      <c r="A51" s="168" t="s">
        <v>350</v>
      </c>
      <c r="B51" s="169"/>
      <c r="C51" s="169" t="s">
        <v>351</v>
      </c>
      <c r="D51" s="169"/>
      <c r="E51" s="169" t="s">
        <v>352</v>
      </c>
      <c r="F51" s="169"/>
      <c r="G51" s="170"/>
      <c r="H51" s="171"/>
      <c r="J51" s="173"/>
    </row>
    <row r="52" spans="1:11" x14ac:dyDescent="0.4">
      <c r="A52" s="174"/>
      <c r="B52" s="175"/>
      <c r="C52" s="175"/>
      <c r="D52" s="175"/>
      <c r="E52" s="175"/>
      <c r="F52" s="175"/>
      <c r="G52" s="175"/>
      <c r="H52" s="176"/>
    </row>
    <row r="53" spans="1:11" ht="34.5" customHeight="1" x14ac:dyDescent="0.4">
      <c r="A53" s="177" t="s">
        <v>353</v>
      </c>
      <c r="B53" s="177"/>
      <c r="C53" s="177"/>
      <c r="D53" s="177"/>
      <c r="E53" s="177"/>
      <c r="F53" s="177"/>
      <c r="G53" s="177"/>
      <c r="H53" s="177"/>
    </row>
    <row r="54" spans="1:11" ht="30" customHeight="1" x14ac:dyDescent="0.4">
      <c r="A54" s="178"/>
      <c r="B54" s="179"/>
      <c r="C54" s="180"/>
      <c r="D54" s="179"/>
      <c r="E54" s="179"/>
      <c r="F54" s="179"/>
      <c r="G54" s="180"/>
      <c r="H54" s="181"/>
    </row>
    <row r="55" spans="1:11" s="172" customFormat="1" ht="30" customHeight="1" x14ac:dyDescent="0.4">
      <c r="A55" s="168" t="s">
        <v>350</v>
      </c>
      <c r="B55" s="169"/>
      <c r="C55" s="169" t="s">
        <v>351</v>
      </c>
      <c r="D55" s="169"/>
      <c r="E55" s="169"/>
      <c r="F55" s="169"/>
      <c r="G55" s="169" t="s">
        <v>352</v>
      </c>
      <c r="H55" s="182"/>
      <c r="J55" s="173"/>
    </row>
    <row r="56" spans="1:11" x14ac:dyDescent="0.4">
      <c r="A56" s="183"/>
      <c r="B56" s="184"/>
      <c r="C56" s="183"/>
      <c r="D56" s="184"/>
      <c r="E56" s="183"/>
      <c r="F56" s="184"/>
      <c r="G56" s="183"/>
      <c r="H56" s="183"/>
    </row>
    <row r="57" spans="1:11" x14ac:dyDescent="0.4">
      <c r="A57" s="183"/>
      <c r="B57" s="184"/>
      <c r="C57" s="183"/>
      <c r="D57" s="184"/>
      <c r="E57" s="185"/>
      <c r="F57" s="184"/>
      <c r="G57" s="183"/>
      <c r="H57" s="183"/>
    </row>
    <row r="58" spans="1:11" x14ac:dyDescent="0.4">
      <c r="A58" s="183"/>
      <c r="B58" s="184"/>
      <c r="C58" s="183"/>
      <c r="D58" s="184"/>
      <c r="E58" s="186"/>
      <c r="F58" s="184"/>
      <c r="G58" s="183"/>
      <c r="H58" s="183"/>
    </row>
    <row r="59" spans="1:11" x14ac:dyDescent="0.4">
      <c r="A59" s="183"/>
      <c r="B59" s="184"/>
      <c r="C59" s="183"/>
      <c r="D59" s="184"/>
      <c r="E59" s="186"/>
      <c r="F59" s="184"/>
      <c r="G59" s="183"/>
      <c r="H59" s="183"/>
    </row>
    <row r="60" spans="1:11" x14ac:dyDescent="0.4">
      <c r="A60" s="183"/>
      <c r="B60" s="184"/>
      <c r="C60" s="183"/>
      <c r="D60" s="184"/>
      <c r="E60" s="183"/>
      <c r="F60" s="184"/>
      <c r="G60" s="183"/>
      <c r="H60" s="183"/>
    </row>
    <row r="67" spans="5:5" x14ac:dyDescent="0.4">
      <c r="E67" s="187"/>
    </row>
  </sheetData>
  <mergeCells count="64">
    <mergeCell ref="A48:H48"/>
    <mergeCell ref="A49:H49"/>
    <mergeCell ref="G50:H51"/>
    <mergeCell ref="A52:H52"/>
    <mergeCell ref="A53:H53"/>
    <mergeCell ref="C40:D40"/>
    <mergeCell ref="G40:H40"/>
    <mergeCell ref="A41:C41"/>
    <mergeCell ref="F41:H47"/>
    <mergeCell ref="A42:C42"/>
    <mergeCell ref="A43:C43"/>
    <mergeCell ref="A45:C45"/>
    <mergeCell ref="A46:C46"/>
    <mergeCell ref="A47:C47"/>
    <mergeCell ref="C37:D37"/>
    <mergeCell ref="G37:H37"/>
    <mergeCell ref="C38:D38"/>
    <mergeCell ref="G38:H38"/>
    <mergeCell ref="C39:D39"/>
    <mergeCell ref="G39:H39"/>
    <mergeCell ref="C34:D34"/>
    <mergeCell ref="G34:H34"/>
    <mergeCell ref="C35:D35"/>
    <mergeCell ref="G35:H35"/>
    <mergeCell ref="C36:D36"/>
    <mergeCell ref="E36:H36"/>
    <mergeCell ref="C31:D31"/>
    <mergeCell ref="E31:H31"/>
    <mergeCell ref="C32:D32"/>
    <mergeCell ref="G32:H32"/>
    <mergeCell ref="C33:D33"/>
    <mergeCell ref="G33:H33"/>
    <mergeCell ref="C27:D27"/>
    <mergeCell ref="G27:H27"/>
    <mergeCell ref="A28:H28"/>
    <mergeCell ref="C29:D29"/>
    <mergeCell ref="G29:H29"/>
    <mergeCell ref="C30:D30"/>
    <mergeCell ref="G30:H30"/>
    <mergeCell ref="A24:D24"/>
    <mergeCell ref="G24:H24"/>
    <mergeCell ref="C25:D25"/>
    <mergeCell ref="G25:H25"/>
    <mergeCell ref="C26:D26"/>
    <mergeCell ref="G26:H26"/>
    <mergeCell ref="C21:D21"/>
    <mergeCell ref="E21:H21"/>
    <mergeCell ref="C22:D22"/>
    <mergeCell ref="E22:H22"/>
    <mergeCell ref="C23:D23"/>
    <mergeCell ref="E23:H23"/>
    <mergeCell ref="A13:C13"/>
    <mergeCell ref="F13:H13"/>
    <mergeCell ref="A15:H15"/>
    <mergeCell ref="A17:H17"/>
    <mergeCell ref="A19:H19"/>
    <mergeCell ref="C20:D20"/>
    <mergeCell ref="G20:H20"/>
    <mergeCell ref="A1:H1"/>
    <mergeCell ref="A2:H2"/>
    <mergeCell ref="A3:H3"/>
    <mergeCell ref="A4:H4"/>
    <mergeCell ref="E5:F5"/>
    <mergeCell ref="A6:H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2"/>
  <sheetViews>
    <sheetView tabSelected="1" workbookViewId="0">
      <pane ySplit="1" topLeftCell="A5" activePane="bottomLeft" state="frozen"/>
      <selection pane="bottomLeft" activeCell="J17" sqref="J17"/>
    </sheetView>
  </sheetViews>
  <sheetFormatPr defaultRowHeight="14.6" x14ac:dyDescent="0.4"/>
  <cols>
    <col min="1" max="1" width="18.3828125" bestFit="1" customWidth="1"/>
  </cols>
  <sheetData>
    <row r="1" spans="1:180" x14ac:dyDescent="0.4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A1" t="s">
        <v>116</v>
      </c>
      <c r="BB1" t="s">
        <v>117</v>
      </c>
      <c r="BC1" t="s">
        <v>118</v>
      </c>
      <c r="BD1" t="s">
        <v>119</v>
      </c>
      <c r="BE1" t="s">
        <v>120</v>
      </c>
      <c r="BF1" t="s">
        <v>121</v>
      </c>
      <c r="BG1" t="s">
        <v>122</v>
      </c>
      <c r="BH1" t="s">
        <v>123</v>
      </c>
      <c r="BI1" t="s">
        <v>124</v>
      </c>
      <c r="BJ1" t="s">
        <v>125</v>
      </c>
      <c r="BK1" t="s">
        <v>126</v>
      </c>
      <c r="BL1" t="s">
        <v>127</v>
      </c>
      <c r="BM1" t="s">
        <v>128</v>
      </c>
      <c r="BN1" t="s">
        <v>129</v>
      </c>
      <c r="BO1" t="s">
        <v>130</v>
      </c>
      <c r="BP1" t="s">
        <v>131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139</v>
      </c>
      <c r="BY1" t="s">
        <v>140</v>
      </c>
      <c r="BZ1" t="s">
        <v>141</v>
      </c>
      <c r="CA1" t="s">
        <v>142</v>
      </c>
      <c r="CB1" t="s">
        <v>143</v>
      </c>
      <c r="CC1" t="s">
        <v>144</v>
      </c>
      <c r="CD1" t="s">
        <v>145</v>
      </c>
      <c r="CE1" t="s">
        <v>146</v>
      </c>
      <c r="CF1" t="s">
        <v>147</v>
      </c>
      <c r="CG1" t="s">
        <v>148</v>
      </c>
      <c r="CH1" t="s">
        <v>149</v>
      </c>
      <c r="CI1" t="s">
        <v>150</v>
      </c>
      <c r="CJ1" t="s">
        <v>151</v>
      </c>
      <c r="CK1" t="s">
        <v>152</v>
      </c>
      <c r="CL1" t="s">
        <v>153</v>
      </c>
      <c r="CM1" t="s">
        <v>154</v>
      </c>
      <c r="CN1" t="s">
        <v>155</v>
      </c>
      <c r="CO1" t="s">
        <v>156</v>
      </c>
      <c r="CP1" t="s">
        <v>157</v>
      </c>
      <c r="CQ1" t="s">
        <v>158</v>
      </c>
      <c r="CR1" t="s">
        <v>159</v>
      </c>
      <c r="CS1" t="s">
        <v>160</v>
      </c>
      <c r="CT1" t="s">
        <v>161</v>
      </c>
      <c r="CU1" t="s">
        <v>162</v>
      </c>
      <c r="CV1" t="s">
        <v>163</v>
      </c>
      <c r="CW1" t="s">
        <v>164</v>
      </c>
      <c r="CX1" t="s">
        <v>165</v>
      </c>
      <c r="CY1" t="s">
        <v>166</v>
      </c>
      <c r="CZ1" t="s">
        <v>167</v>
      </c>
      <c r="DA1" t="s">
        <v>168</v>
      </c>
      <c r="DB1" t="s">
        <v>169</v>
      </c>
      <c r="DC1" t="s">
        <v>170</v>
      </c>
      <c r="DD1" t="s">
        <v>171</v>
      </c>
      <c r="DE1" t="s">
        <v>172</v>
      </c>
      <c r="DF1" t="s">
        <v>173</v>
      </c>
      <c r="DG1" t="s">
        <v>174</v>
      </c>
      <c r="DH1" t="s">
        <v>175</v>
      </c>
      <c r="DI1" t="s">
        <v>176</v>
      </c>
      <c r="DJ1" t="s">
        <v>177</v>
      </c>
      <c r="DK1" t="s">
        <v>178</v>
      </c>
      <c r="DL1" t="s">
        <v>179</v>
      </c>
      <c r="DM1" t="s">
        <v>180</v>
      </c>
      <c r="DN1" t="s">
        <v>181</v>
      </c>
      <c r="DO1" t="s">
        <v>182</v>
      </c>
      <c r="DP1" t="s">
        <v>183</v>
      </c>
      <c r="DQ1" t="s">
        <v>184</v>
      </c>
      <c r="DR1" t="s">
        <v>185</v>
      </c>
      <c r="DS1" t="s">
        <v>186</v>
      </c>
      <c r="DT1" t="s">
        <v>187</v>
      </c>
      <c r="DU1" t="s">
        <v>188</v>
      </c>
      <c r="DV1" t="s">
        <v>189</v>
      </c>
      <c r="DW1" t="s">
        <v>190</v>
      </c>
      <c r="DX1" t="s">
        <v>191</v>
      </c>
      <c r="DY1" t="s">
        <v>192</v>
      </c>
      <c r="DZ1" t="s">
        <v>193</v>
      </c>
      <c r="EA1" t="s">
        <v>194</v>
      </c>
      <c r="EB1" t="s">
        <v>195</v>
      </c>
      <c r="EC1" t="s">
        <v>196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204</v>
      </c>
      <c r="EL1" t="s">
        <v>205</v>
      </c>
      <c r="EM1" t="s">
        <v>206</v>
      </c>
      <c r="EN1" t="s">
        <v>207</v>
      </c>
      <c r="EO1" t="s">
        <v>208</v>
      </c>
      <c r="EP1" t="s">
        <v>209</v>
      </c>
      <c r="EQ1" t="s">
        <v>210</v>
      </c>
      <c r="ER1" t="s">
        <v>211</v>
      </c>
      <c r="ES1" t="s">
        <v>212</v>
      </c>
      <c r="ET1" t="s">
        <v>213</v>
      </c>
      <c r="EU1" t="s">
        <v>214</v>
      </c>
      <c r="EV1" t="s">
        <v>215</v>
      </c>
      <c r="EW1" t="s">
        <v>216</v>
      </c>
      <c r="EX1" t="s">
        <v>217</v>
      </c>
      <c r="EY1" t="s">
        <v>218</v>
      </c>
      <c r="EZ1" t="s">
        <v>219</v>
      </c>
      <c r="FA1" t="s">
        <v>220</v>
      </c>
      <c r="FB1" t="s">
        <v>221</v>
      </c>
      <c r="FC1" t="s">
        <v>222</v>
      </c>
      <c r="FD1" t="s">
        <v>223</v>
      </c>
      <c r="FE1" t="s">
        <v>224</v>
      </c>
      <c r="FF1" t="s">
        <v>225</v>
      </c>
      <c r="FG1" t="s">
        <v>226</v>
      </c>
      <c r="FH1" t="s">
        <v>227</v>
      </c>
      <c r="FI1" t="s">
        <v>228</v>
      </c>
      <c r="FJ1" t="s">
        <v>229</v>
      </c>
      <c r="FK1" t="s">
        <v>230</v>
      </c>
      <c r="FL1" t="s">
        <v>231</v>
      </c>
      <c r="FM1" t="s">
        <v>232</v>
      </c>
      <c r="FN1" t="s">
        <v>233</v>
      </c>
      <c r="FO1" t="s">
        <v>234</v>
      </c>
      <c r="FP1" t="s">
        <v>235</v>
      </c>
      <c r="FQ1" t="s">
        <v>236</v>
      </c>
      <c r="FR1" t="s">
        <v>237</v>
      </c>
      <c r="FS1" t="s">
        <v>238</v>
      </c>
      <c r="FT1" t="s">
        <v>239</v>
      </c>
      <c r="FU1" t="s">
        <v>240</v>
      </c>
      <c r="FV1" t="s">
        <v>241</v>
      </c>
      <c r="FW1" t="s">
        <v>242</v>
      </c>
      <c r="FX1" t="s">
        <v>243</v>
      </c>
    </row>
    <row r="2" spans="1:180" x14ac:dyDescent="0.4">
      <c r="A2" t="s">
        <v>244</v>
      </c>
      <c r="B2" s="2">
        <v>0</v>
      </c>
      <c r="C2" s="2">
        <v>0</v>
      </c>
      <c r="D2" t="s">
        <v>245</v>
      </c>
      <c r="E2" t="s">
        <v>245</v>
      </c>
      <c r="F2" t="s">
        <v>245</v>
      </c>
      <c r="G2" t="s">
        <v>245</v>
      </c>
      <c r="H2" t="s">
        <v>245</v>
      </c>
      <c r="I2" t="s">
        <v>245</v>
      </c>
      <c r="J2" t="s">
        <v>245</v>
      </c>
      <c r="K2" t="s">
        <v>245</v>
      </c>
      <c r="L2" t="s">
        <v>245</v>
      </c>
      <c r="M2" t="s">
        <v>245</v>
      </c>
      <c r="N2" t="s">
        <v>245</v>
      </c>
      <c r="O2" t="s">
        <v>245</v>
      </c>
      <c r="P2" t="s">
        <v>245</v>
      </c>
      <c r="Q2" t="s">
        <v>245</v>
      </c>
      <c r="R2" t="s">
        <v>245</v>
      </c>
      <c r="S2" t="s">
        <v>245</v>
      </c>
      <c r="T2" t="s">
        <v>245</v>
      </c>
      <c r="U2" t="s">
        <v>245</v>
      </c>
      <c r="V2" t="s">
        <v>245</v>
      </c>
      <c r="W2" t="s">
        <v>245</v>
      </c>
      <c r="X2" s="3">
        <v>0</v>
      </c>
      <c r="Y2" t="s">
        <v>245</v>
      </c>
      <c r="Z2" t="s">
        <v>245</v>
      </c>
      <c r="AA2" t="s">
        <v>245</v>
      </c>
      <c r="AB2" t="s">
        <v>244</v>
      </c>
      <c r="AC2" t="s">
        <v>244</v>
      </c>
      <c r="AD2" t="s">
        <v>245</v>
      </c>
      <c r="AE2" t="s">
        <v>244</v>
      </c>
      <c r="AF2" t="s">
        <v>244</v>
      </c>
      <c r="AG2" t="s">
        <v>245</v>
      </c>
      <c r="AH2" t="s">
        <v>244</v>
      </c>
      <c r="AI2" t="s">
        <v>244</v>
      </c>
      <c r="AJ2" t="s">
        <v>244</v>
      </c>
      <c r="AK2" t="s">
        <v>244</v>
      </c>
      <c r="AL2" t="s">
        <v>245</v>
      </c>
      <c r="AM2" s="2">
        <v>0</v>
      </c>
      <c r="AN2" s="3">
        <v>0</v>
      </c>
      <c r="AO2" t="s">
        <v>245</v>
      </c>
      <c r="AP2" t="s">
        <v>245</v>
      </c>
      <c r="AQ2" t="s">
        <v>245</v>
      </c>
      <c r="AR2" s="4">
        <v>0</v>
      </c>
      <c r="AS2" t="s">
        <v>245</v>
      </c>
      <c r="AT2" t="s">
        <v>245</v>
      </c>
      <c r="AU2" t="s">
        <v>245</v>
      </c>
      <c r="AV2" s="4">
        <v>0</v>
      </c>
      <c r="AW2" t="s">
        <v>245</v>
      </c>
      <c r="AX2" t="s">
        <v>245</v>
      </c>
      <c r="AY2" t="s">
        <v>245</v>
      </c>
      <c r="AZ2" s="3">
        <v>0</v>
      </c>
      <c r="BA2" t="s">
        <v>245</v>
      </c>
      <c r="BB2" t="s">
        <v>245</v>
      </c>
      <c r="BC2" t="s">
        <v>246</v>
      </c>
      <c r="BD2" t="s">
        <v>245</v>
      </c>
      <c r="BE2" s="5">
        <v>0</v>
      </c>
      <c r="BF2" t="s">
        <v>245</v>
      </c>
      <c r="BG2" t="s">
        <v>245</v>
      </c>
      <c r="BH2" t="s">
        <v>246</v>
      </c>
      <c r="BI2" s="5">
        <v>0</v>
      </c>
      <c r="BJ2" t="s">
        <v>244</v>
      </c>
      <c r="BK2" t="s">
        <v>244</v>
      </c>
      <c r="BL2" s="3">
        <v>0</v>
      </c>
      <c r="BM2" t="s">
        <v>245</v>
      </c>
      <c r="BN2" t="s">
        <v>245</v>
      </c>
      <c r="BO2" s="2">
        <v>0</v>
      </c>
      <c r="BP2" t="s">
        <v>245</v>
      </c>
      <c r="BQ2" t="s">
        <v>245</v>
      </c>
      <c r="BR2" t="s">
        <v>245</v>
      </c>
      <c r="BS2" t="s">
        <v>244</v>
      </c>
      <c r="BT2" t="s">
        <v>245</v>
      </c>
      <c r="BU2" t="s">
        <v>245</v>
      </c>
      <c r="BV2" t="s">
        <v>244</v>
      </c>
      <c r="BW2" t="s">
        <v>244</v>
      </c>
      <c r="BX2" t="s">
        <v>245</v>
      </c>
      <c r="BY2" s="2">
        <v>0</v>
      </c>
      <c r="BZ2" s="3">
        <v>0</v>
      </c>
      <c r="CA2" s="2">
        <v>0</v>
      </c>
      <c r="CB2" t="s">
        <v>245</v>
      </c>
      <c r="CC2" t="s">
        <v>245</v>
      </c>
      <c r="CD2" t="s">
        <v>244</v>
      </c>
      <c r="CE2" t="s">
        <v>245</v>
      </c>
      <c r="CF2" s="3">
        <v>0</v>
      </c>
      <c r="CG2" t="s">
        <v>245</v>
      </c>
      <c r="CH2" s="3">
        <v>0</v>
      </c>
      <c r="CI2" t="s">
        <v>245</v>
      </c>
      <c r="CJ2" t="s">
        <v>245</v>
      </c>
      <c r="CK2" s="5">
        <v>0</v>
      </c>
      <c r="CL2" t="s">
        <v>245</v>
      </c>
      <c r="CM2" t="s">
        <v>245</v>
      </c>
      <c r="CN2" t="s">
        <v>245</v>
      </c>
      <c r="CO2" t="s">
        <v>245</v>
      </c>
      <c r="CP2" t="s">
        <v>245</v>
      </c>
      <c r="CQ2" t="s">
        <v>245</v>
      </c>
      <c r="CR2" s="3">
        <v>0</v>
      </c>
      <c r="CS2" s="2">
        <v>0</v>
      </c>
      <c r="CT2" t="s">
        <v>245</v>
      </c>
      <c r="CU2" t="s">
        <v>245</v>
      </c>
      <c r="CV2" s="3">
        <v>0</v>
      </c>
      <c r="CW2" t="s">
        <v>245</v>
      </c>
      <c r="CX2" s="5">
        <v>0</v>
      </c>
      <c r="CY2" s="5">
        <v>0</v>
      </c>
      <c r="CZ2" t="s">
        <v>245</v>
      </c>
      <c r="DA2" t="s">
        <v>245</v>
      </c>
      <c r="DB2" t="s">
        <v>245</v>
      </c>
      <c r="DC2" t="s">
        <v>245</v>
      </c>
      <c r="DD2" t="s">
        <v>244</v>
      </c>
      <c r="DE2" t="s">
        <v>245</v>
      </c>
      <c r="DF2" t="s">
        <v>245</v>
      </c>
      <c r="DG2" t="s">
        <v>245</v>
      </c>
      <c r="DH2" t="s">
        <v>244</v>
      </c>
      <c r="DI2" s="5">
        <v>0</v>
      </c>
      <c r="DJ2" t="s">
        <v>245</v>
      </c>
      <c r="DK2" t="s">
        <v>245</v>
      </c>
      <c r="DL2" t="s">
        <v>245</v>
      </c>
      <c r="DM2" t="s">
        <v>245</v>
      </c>
      <c r="DN2" s="2">
        <v>0</v>
      </c>
      <c r="DO2" t="s">
        <v>245</v>
      </c>
      <c r="DP2" t="s">
        <v>244</v>
      </c>
      <c r="DQ2" s="3">
        <v>0</v>
      </c>
      <c r="DR2" t="s">
        <v>245</v>
      </c>
      <c r="DS2" t="s">
        <v>245</v>
      </c>
      <c r="DT2" t="s">
        <v>245</v>
      </c>
      <c r="DU2" t="s">
        <v>245</v>
      </c>
      <c r="DV2" t="s">
        <v>245</v>
      </c>
      <c r="DW2" t="s">
        <v>245</v>
      </c>
      <c r="DX2" t="s">
        <v>245</v>
      </c>
      <c r="DY2" t="s">
        <v>245</v>
      </c>
      <c r="DZ2" t="s">
        <v>245</v>
      </c>
      <c r="EA2" t="s">
        <v>245</v>
      </c>
      <c r="EB2" t="s">
        <v>245</v>
      </c>
      <c r="EC2" t="s">
        <v>245</v>
      </c>
      <c r="ED2" t="s">
        <v>245</v>
      </c>
      <c r="EE2" t="s">
        <v>245</v>
      </c>
      <c r="EF2" t="s">
        <v>245</v>
      </c>
      <c r="EG2" t="s">
        <v>245</v>
      </c>
      <c r="EH2" t="s">
        <v>245</v>
      </c>
      <c r="EI2" t="s">
        <v>245</v>
      </c>
      <c r="EJ2" t="s">
        <v>245</v>
      </c>
      <c r="EK2" t="s">
        <v>245</v>
      </c>
      <c r="EL2" t="s">
        <v>245</v>
      </c>
      <c r="EM2" t="s">
        <v>245</v>
      </c>
      <c r="EN2" t="s">
        <v>245</v>
      </c>
      <c r="EO2" t="s">
        <v>245</v>
      </c>
      <c r="EP2" t="s">
        <v>245</v>
      </c>
      <c r="EQ2" t="s">
        <v>245</v>
      </c>
      <c r="ER2" t="s">
        <v>245</v>
      </c>
      <c r="ES2" t="s">
        <v>245</v>
      </c>
      <c r="ET2" t="s">
        <v>245</v>
      </c>
      <c r="EU2" s="5">
        <v>0</v>
      </c>
      <c r="EV2" t="s">
        <v>245</v>
      </c>
      <c r="EW2" t="s">
        <v>245</v>
      </c>
      <c r="EX2" t="s">
        <v>245</v>
      </c>
      <c r="EY2" t="s">
        <v>245</v>
      </c>
      <c r="EZ2" t="s">
        <v>245</v>
      </c>
      <c r="FA2" t="s">
        <v>245</v>
      </c>
      <c r="FB2" t="s">
        <v>245</v>
      </c>
      <c r="FC2" s="4">
        <v>0</v>
      </c>
      <c r="FD2" t="s">
        <v>246</v>
      </c>
      <c r="FE2" t="s">
        <v>246</v>
      </c>
      <c r="FF2" s="4">
        <v>0</v>
      </c>
      <c r="FG2" t="s">
        <v>246</v>
      </c>
      <c r="FH2" t="s">
        <v>245</v>
      </c>
      <c r="FI2" t="s">
        <v>245</v>
      </c>
      <c r="FJ2" t="s">
        <v>244</v>
      </c>
      <c r="FK2" s="2">
        <v>0</v>
      </c>
      <c r="FL2" t="s">
        <v>245</v>
      </c>
      <c r="FM2" t="s">
        <v>245</v>
      </c>
      <c r="FN2" t="s">
        <v>245</v>
      </c>
      <c r="FO2" t="s">
        <v>245</v>
      </c>
      <c r="FP2" t="s">
        <v>245</v>
      </c>
      <c r="FQ2" t="s">
        <v>245</v>
      </c>
      <c r="FR2" s="2">
        <v>0</v>
      </c>
      <c r="FS2" t="s">
        <v>245</v>
      </c>
      <c r="FT2" t="s">
        <v>245</v>
      </c>
      <c r="FU2" t="s">
        <v>245</v>
      </c>
      <c r="FV2" s="5">
        <v>0</v>
      </c>
      <c r="FW2" t="s">
        <v>245</v>
      </c>
      <c r="FX2" t="s">
        <v>245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3</v>
      </c>
      <c r="B1" t="s">
        <v>1</v>
      </c>
    </row>
    <row r="2" spans="1:2" x14ac:dyDescent="0.4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B10" sqref="B10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4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4">
      <c r="A3" t="s">
        <v>10</v>
      </c>
      <c r="B3" t="s">
        <v>11</v>
      </c>
      <c r="D3" t="s">
        <v>28</v>
      </c>
      <c r="E3" t="s">
        <v>29</v>
      </c>
    </row>
    <row r="4" spans="1:11" x14ac:dyDescent="0.4">
      <c r="A4" t="s">
        <v>12</v>
      </c>
      <c r="B4" t="s">
        <v>13</v>
      </c>
      <c r="D4" t="s">
        <v>30</v>
      </c>
      <c r="E4" t="s">
        <v>31</v>
      </c>
    </row>
    <row r="5" spans="1:11" x14ac:dyDescent="0.4">
      <c r="A5" t="s">
        <v>14</v>
      </c>
      <c r="B5" t="s">
        <v>15</v>
      </c>
      <c r="D5" t="s">
        <v>32</v>
      </c>
      <c r="E5" t="s">
        <v>33</v>
      </c>
    </row>
    <row r="6" spans="1:11" x14ac:dyDescent="0.4">
      <c r="A6" t="s">
        <v>16</v>
      </c>
      <c r="B6" t="s">
        <v>17</v>
      </c>
      <c r="D6" t="s">
        <v>34</v>
      </c>
      <c r="E6" t="s">
        <v>35</v>
      </c>
    </row>
    <row r="7" spans="1:11" x14ac:dyDescent="0.4">
      <c r="A7" t="s">
        <v>18</v>
      </c>
      <c r="B7" t="s">
        <v>19</v>
      </c>
      <c r="D7" t="s">
        <v>50</v>
      </c>
      <c r="E7" t="s">
        <v>51</v>
      </c>
    </row>
    <row r="8" spans="1:11" x14ac:dyDescent="0.4">
      <c r="A8" t="s">
        <v>58</v>
      </c>
      <c r="B8" t="s">
        <v>59</v>
      </c>
      <c r="D8" t="s">
        <v>36</v>
      </c>
      <c r="E8" t="s">
        <v>37</v>
      </c>
    </row>
    <row r="9" spans="1:11" x14ac:dyDescent="0.4">
      <c r="A9" t="s">
        <v>20</v>
      </c>
      <c r="B9" t="s">
        <v>21</v>
      </c>
      <c r="D9" t="s">
        <v>38</v>
      </c>
      <c r="E9" t="s">
        <v>39</v>
      </c>
    </row>
    <row r="10" spans="1:11" x14ac:dyDescent="0.4">
      <c r="A10" t="s">
        <v>22</v>
      </c>
      <c r="B10" t="s">
        <v>23</v>
      </c>
      <c r="D10" t="s">
        <v>40</v>
      </c>
      <c r="E10" t="s">
        <v>41</v>
      </c>
    </row>
    <row r="11" spans="1:11" x14ac:dyDescent="0.4">
      <c r="A11" t="s">
        <v>24</v>
      </c>
      <c r="B11" t="s">
        <v>25</v>
      </c>
      <c r="D11" t="s">
        <v>60</v>
      </c>
      <c r="E11" t="s">
        <v>61</v>
      </c>
    </row>
    <row r="12" spans="1:11" x14ac:dyDescent="0.4">
      <c r="D12" t="s">
        <v>62</v>
      </c>
      <c r="E12" t="s">
        <v>63</v>
      </c>
    </row>
    <row r="13" spans="1:11" x14ac:dyDescent="0.4">
      <c r="D13" t="s">
        <v>0</v>
      </c>
      <c r="E13" t="s">
        <v>42</v>
      </c>
    </row>
    <row r="14" spans="1:11" x14ac:dyDescent="0.4">
      <c r="D14" t="s">
        <v>43</v>
      </c>
      <c r="E14" t="s">
        <v>44</v>
      </c>
    </row>
    <row r="15" spans="1:11" x14ac:dyDescent="0.4">
      <c r="D15" t="s">
        <v>52</v>
      </c>
      <c r="E15" t="s">
        <v>53</v>
      </c>
    </row>
    <row r="16" spans="1:11" x14ac:dyDescent="0.4">
      <c r="D16" t="s">
        <v>54</v>
      </c>
      <c r="E16" t="s">
        <v>55</v>
      </c>
    </row>
    <row r="17" spans="4:5" x14ac:dyDescent="0.4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VAT</vt:lpstr>
      <vt:lpstr>FORM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Felix Masila</cp:lastModifiedBy>
  <dcterms:modified xsi:type="dcterms:W3CDTF">2026-05-12T22:10:50Z</dcterms:modified>
</cp:coreProperties>
</file>