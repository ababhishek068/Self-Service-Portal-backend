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bec7ae223e4719" /></Relationships>
</file>

<file path=xl/workbook.xml><?xml version="1.0" encoding="utf-8"?>
<x:workbook xmlns:x="http://schemas.openxmlformats.org/spreadsheetml/2006/main">
  <x:sheets>
    <x:sheet xmlns:r="http://schemas.openxmlformats.org/officeDocument/2006/relationships" name="Executive Summary" sheetId="1" r:id="R5211e035c1234702"/>
    <x:sheet xmlns:r="http://schemas.openxmlformats.org/officeDocument/2006/relationships" name="HR" sheetId="2" r:id="Raa28a491fa644bc8"/>
    <x:sheet xmlns:r="http://schemas.openxmlformats.org/officeDocument/2006/relationships" name="Finance" sheetId="3" r:id="Re48175485b2948e9"/>
    <x:sheet xmlns:r="http://schemas.openxmlformats.org/officeDocument/2006/relationships" name="Facility" sheetId="4" r:id="R5af7f63ec51241d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4">
    <x:font>
      <x:sz val="11"/>
      <x:name val="Carlito"/>
    </x:font>
    <x:font>
      <x:b/>
      <x:sz val="16"/>
      <x:color rgb="FFFFFFFF"/>
      <x:name val="Carlito"/>
    </x:font>
    <x:font>
      <x:i/>
      <x:sz val="9"/>
      <x:color rgb="FF23415C"/>
      <x:name val="Carlito"/>
    </x:font>
    <x:font>
      <x:b/>
      <x:sz val="9"/>
      <x:color rgb="FF6B4F00"/>
      <x:name val="Carlito"/>
    </x:font>
    <x:font>
      <x:b/>
      <x:sz val="9"/>
      <x:color rgb="FFFFFFFF"/>
      <x:name val="Carlito"/>
    </x:font>
    <x:font>
      <x:sz val="9"/>
      <x:color rgb="FF172B3A"/>
      <x:name val="Carlito"/>
    </x:font>
    <x:font>
      <x:b/>
      <x:sz val="18"/>
      <x:color rgb="FFFFFFFF"/>
      <x:name val="Carlito"/>
    </x:font>
    <x:font>
      <x:i/>
      <x:sz val="10"/>
      <x:color rgb="FF23415C"/>
      <x:name val="Carlito"/>
    </x:font>
    <x:font>
      <x:b/>
      <x:sz val="11"/>
      <x:color rgb="FFFFFFFF"/>
      <x:name val="Carlito"/>
    </x:font>
    <x:font>
      <x:b/>
      <x:sz val="11"/>
      <x:color rgb="FF003B67"/>
      <x:name val="Carlito"/>
    </x:font>
    <x:font>
      <x:b/>
      <x:sz val="12"/>
      <x:color rgb="FFFFFFFF"/>
      <x:name val="Carlito"/>
    </x:font>
    <x:font>
      <x:b/>
      <x:sz val="11"/>
      <x:color rgb="FF285B18"/>
      <x:name val="Carlito"/>
    </x:font>
    <x:font>
      <x:b/>
      <x:sz val="11"/>
      <x:color rgb="FF7F6000"/>
      <x:name val="Carlito"/>
    </x:font>
    <x:font>
      <x:b/>
      <x:sz val="11"/>
      <x:color rgb="FF9C0006"/>
      <x:name val="Carlito"/>
    </x:font>
  </x:fonts>
  <x:fills count="10">
    <x:fill>
      <x:patternFill patternType="none"/>
    </x:fill>
    <x:fill>
      <x:patternFill patternType="gray125"/>
    </x:fill>
    <x:fill>
      <x:patternFill patternType="solid">
        <x:fgColor rgb="FF003B67"/>
      </x:patternFill>
    </x:fill>
    <x:fill>
      <x:patternFill patternType="solid">
        <x:fgColor rgb="FFEAF2F8"/>
      </x:patternFill>
    </x:fill>
    <x:fill>
      <x:patternFill patternType="solid">
        <x:fgColor rgb="FFFFF4CE"/>
      </x:patternFill>
    </x:fill>
    <x:fill>
      <x:patternFill patternType="solid">
        <x:fgColor rgb="FFD96B22"/>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CE4D6"/>
      </x:patternFill>
    </x:fill>
  </x:fills>
  <x:borders count="9">
    <x:border/>
    <x:border>
      <x:left style="thin">
        <x:color rgb="FFB44F13"/>
      </x:left>
      <x:top style="thin">
        <x:color rgb="FFB44F13"/>
      </x:top>
      <x:bottom style="thin">
        <x:color rgb="FFB44F13"/>
      </x:bottom>
    </x:border>
    <x:border>
      <x:top style="thin">
        <x:color rgb="FFB44F13"/>
      </x:top>
      <x:bottom style="thin">
        <x:color rgb="FFB44F13"/>
      </x:bottom>
    </x:border>
    <x:border>
      <x:right style="thin">
        <x:color rgb="FFB44F13"/>
      </x:right>
      <x:top style="thin">
        <x:color rgb="FFB44F13"/>
      </x:top>
      <x:bottom style="thin">
        <x:color rgb="FFB44F13"/>
      </x:bottom>
    </x:border>
    <x:border>
      <x:bottom style="thin">
        <x:color rgb="FFDDE5EC"/>
      </x:bottom>
    </x:border>
    <x:border>
      <x:top style="thin">
        <x:color rgb="FFDDE5EC"/>
      </x:top>
      <x:bottom style="thin">
        <x:color rgb="FFDDE5EC"/>
      </x:bottom>
    </x:border>
    <x:border>
      <x:top style="thin">
        <x:color rgb="FFDDE5EC"/>
      </x:top>
      <x:bottom style="thin">
        <x:color rgb="FF9FB2C2"/>
      </x:bottom>
    </x:border>
    <x:border>
      <x:left style="thin">
        <x:color rgb="FFCBD6DF"/>
      </x:left>
      <x:right style="thin">
        <x:color rgb="FFCBD6DF"/>
      </x:right>
      <x:top style="thin">
        <x:color rgb="FFCBD6DF"/>
      </x:top>
      <x:bottom style="thin">
        <x:color rgb="FFCBD6DF"/>
      </x:bottom>
    </x:border>
    <x:border>
      <x:left style="thin">
        <x:color rgb="FFCBD6DF"/>
      </x:left>
      <x:right style="thin">
        <x:color rgb="FFCBD6DF"/>
      </x:right>
      <x:top style="thin">
        <x:color rgb="FFCBD6DF"/>
      </x:top>
      <x:bottom style="double">
        <x:color rgb="FF003B67"/>
      </x:bottom>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5" fillId="0" borderId="0"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4" xfId="0" applyNumberFormat="1" applyFont="1" applyFill="1" applyBorder="1" applyAlignment="1">
      <x:alignment horizontal="center" vertical="top" wrapText="1"/>
    </x:xf>
    <x:xf numFmtId="0" fontId="5" fillId="0" borderId="5" xfId="0" applyNumberFormat="1" applyFont="1" applyFill="1" applyBorder="1" applyAlignment="1">
      <x:alignment horizontal="center" vertical="top" wrapText="1"/>
    </x:xf>
    <x:xf numFmtId="0" fontId="5" fillId="0" borderId="6" xfId="0" applyNumberFormat="1" applyFont="1" applyFill="1" applyBorder="1" applyAlignment="1">
      <x:alignment horizontal="center" vertical="top" wrapText="1"/>
    </x:xf>
    <x:xf numFmtId="200" fontId="5" fillId="0" borderId="4" xfId="0" applyNumberFormat="1" applyFont="1" applyFill="1" applyBorder="1" applyAlignment="1">
      <x:alignment horizontal="center" vertical="top" wrapText="1"/>
    </x:xf>
    <x:xf numFmtId="200" fontId="5" fillId="0" borderId="5" xfId="0" applyNumberFormat="1" applyFont="1" applyFill="1" applyBorder="1" applyAlignment="1">
      <x:alignment horizontal="center" vertical="top" wrapText="1"/>
    </x:xf>
    <x:xf numFmtId="200" fontId="5" fillId="0" borderId="6" xfId="0" applyNumberFormat="1" applyFont="1" applyFill="1" applyBorder="1" applyAlignment="1">
      <x:alignment horizontal="center" vertical="top"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7" fillId="3" borderId="0" xfId="0" applyNumberFormat="1" applyFont="1" applyFill="1" applyBorder="1"/>
    <x:xf numFmtId="0" fontId="7" fillId="3" borderId="0" xfId="0" applyNumberFormat="1" applyFont="1" applyFill="1" applyBorder="1" applyAlignment="1">
      <x:alignment vertical="center"/>
    </x:xf>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horizontal="center" wrapText="1"/>
    </x:xf>
    <x:xf numFmtId="0" fontId="0" fillId="0" borderId="7" xfId="0" applyNumberFormat="1" applyFont="1" applyFill="1" applyBorder="1"/>
    <x:xf numFmtId="0" fontId="0" fillId="0" borderId="7" xfId="0" applyNumberFormat="1" applyFont="1" applyFill="1" applyBorder="1" applyAlignment="1">
      <x:alignment vertical="center"/>
    </x:xf>
    <x:xf numFmtId="0" fontId="0" fillId="0" borderId="7" xfId="0" applyNumberFormat="1" applyFont="1" applyFill="1" applyBorder="1" applyAlignment="1">
      <x:alignment horizontal="center" vertical="center"/>
    </x:xf>
    <x:xf numFmtId="0" fontId="0" fillId="6" borderId="7" xfId="0" applyNumberFormat="1" applyFont="1" applyFill="1" applyBorder="1" applyAlignment="1">
      <x:alignment vertical="center"/>
    </x:xf>
    <x:xf numFmtId="0" fontId="0" fillId="6" borderId="7" xfId="0" applyNumberFormat="1" applyFont="1" applyFill="1" applyBorder="1" applyAlignment="1">
      <x:alignment horizontal="center" vertical="center"/>
    </x:xf>
    <x:xf numFmtId="0" fontId="9" fillId="6" borderId="7" xfId="0" applyNumberFormat="1" applyFont="1" applyFill="1" applyBorder="1" applyAlignment="1">
      <x:alignment vertical="center"/>
    </x:xf>
    <x:xf numFmtId="0" fontId="9" fillId="6" borderId="7" xfId="0" applyNumberFormat="1" applyFont="1" applyFill="1" applyBorder="1" applyAlignment="1">
      <x:alignment horizontal="center" vertical="center"/>
    </x:xf>
    <x:xf numFmtId="0" fontId="9" fillId="6" borderId="8" xfId="0" applyNumberFormat="1" applyFont="1" applyFill="1" applyBorder="1" applyAlignment="1">
      <x:alignment vertical="center"/>
    </x:xf>
    <x:xf numFmtId="0" fontId="9" fillId="6" borderId="8" xfId="0" applyNumberFormat="1" applyFont="1" applyFill="1" applyBorder="1" applyAlignment="1">
      <x:alignment horizontal="center" vertical="center"/>
    </x:xf>
    <x:xf numFmtId="0" fontId="10" fillId="2" borderId="0" xfId="0" applyNumberFormat="1" applyFont="1" applyFill="1" applyBorder="1"/>
    <x:xf numFmtId="0" fontId="10" fillId="2" borderId="0" xfId="0" applyNumberFormat="1" applyFont="1" applyFill="1" applyBorder="1" applyAlignment="1">
      <x:alignment vertical="center"/>
    </x:xf>
    <x:xf numFmtId="0" fontId="0" fillId="0" borderId="7" xfId="0" applyNumberFormat="1" applyFont="1" applyFill="1" applyBorder="1" applyAlignment="1">
      <x:alignment wrapText="1"/>
    </x:xf>
    <x:xf numFmtId="0" fontId="0" fillId="0" borderId="7" xfId="0" applyNumberFormat="1" applyFont="1" applyFill="1" applyBorder="1" applyAlignment="1">
      <x:alignment vertical="center" wrapText="1"/>
    </x:xf>
    <x:xf numFmtId="0" fontId="0" fillId="7" borderId="7" xfId="0" applyNumberFormat="1" applyFont="1" applyFill="1" applyBorder="1" applyAlignment="1">
      <x:alignment vertical="center" wrapText="1"/>
    </x:xf>
    <x:xf numFmtId="0" fontId="11" fillId="7" borderId="7" xfId="0" applyNumberFormat="1" applyFont="1" applyFill="1" applyBorder="1" applyAlignment="1">
      <x:alignment vertical="center" wrapText="1"/>
    </x:xf>
    <x:xf numFmtId="0" fontId="0" fillId="8" borderId="7" xfId="0" applyNumberFormat="1" applyFont="1" applyFill="1" applyBorder="1" applyAlignment="1">
      <x:alignment vertical="center" wrapText="1"/>
    </x:xf>
    <x:xf numFmtId="0" fontId="12" fillId="8" borderId="7" xfId="0" applyNumberFormat="1" applyFont="1" applyFill="1" applyBorder="1" applyAlignment="1">
      <x:alignment vertical="center" wrapText="1"/>
    </x:xf>
    <x:xf numFmtId="0" fontId="0" fillId="9" borderId="0" xfId="0" applyNumberFormat="1" applyFont="1" applyFill="1" applyBorder="1"/>
    <x:xf numFmtId="0" fontId="13" fillId="9" borderId="0" xfId="0" applyNumberFormat="1" applyFont="1" applyFill="1" applyBorder="1"/>
    <x:xf numFmtId="0" fontId="13" fillId="9" borderId="0" xfId="0" applyNumberFormat="1" applyFont="1" applyFill="1" applyBorder="1" applyAlignment="1">
      <x:alignment wrapText="1"/>
    </x:xf>
    <x:xf numFmtId="0" fontId="13" fillId="9" borderId="0" xfId="0" applyNumberFormat="1" applyFont="1" applyFill="1" applyBorder="1" applyAlignment="1">
      <x:alignment vertical="center" wrapText="1"/>
    </x:xf>
  </x:cellXfs>
  <x:cellStyles count="1">
    <x:cellStyle name="Normal" xfId="0"/>
  </x:cellStyles>
  <x:dxfs count="15">
    <x:dxf>
      <x:font>
        <x:b/>
        <x:color rgb="FF285B18"/>
      </x:font>
      <x:fill>
        <x:patternFill patternType="solid">
          <x:bgColor rgb="FFE2F0D9"/>
        </x:patternFill>
      </x:fill>
    </x:dxf>
    <x:dxf>
      <x:font>
        <x:i/>
        <x:color rgb="FF555555"/>
      </x:font>
      <x:fill>
        <x:patternFill patternType="solid">
          <x:bgColor rgb="FFE7E6E6"/>
        </x:patternFill>
      </x:fill>
    </x:dxf>
    <x:dxf>
      <x:font>
        <x:b/>
        <x:color rgb="FF7F6000"/>
      </x:font>
      <x:fill>
        <x:patternFill patternType="solid">
          <x:bgColor rgb="FFFFF2CC"/>
        </x:patternFill>
      </x:fill>
    </x:dxf>
    <x:dxf>
      <x:font>
        <x:b/>
        <x:color rgb="FF285B18"/>
      </x:font>
      <x:fill>
        <x:patternFill patternType="solid">
          <x:bgColor rgb="FFE2F0D9"/>
        </x:patternFill>
      </x:fill>
    </x:dxf>
    <x:dxf>
      <x:font>
        <x:b/>
        <x:color rgb="FF9C0006"/>
      </x:font>
      <x:fill>
        <x:patternFill patternType="solid">
          <x:bgColor rgb="FFFCE4D6"/>
        </x:patternFill>
      </x:fill>
    </x:dxf>
    <x:dxf>
      <x:font>
        <x:b/>
        <x:color rgb="FF285B18"/>
      </x:font>
      <x:fill>
        <x:patternFill patternType="solid">
          <x:bgColor rgb="FFE2F0D9"/>
        </x:patternFill>
      </x:fill>
    </x:dxf>
    <x:dxf>
      <x:font>
        <x:i/>
        <x:color rgb="FF555555"/>
      </x:font>
      <x:fill>
        <x:patternFill patternType="solid">
          <x:bgColor rgb="FFE7E6E6"/>
        </x:patternFill>
      </x:fill>
    </x:dxf>
    <x:dxf>
      <x:font>
        <x:b/>
        <x:color rgb="FF7F6000"/>
      </x:font>
      <x:fill>
        <x:patternFill patternType="solid">
          <x:bgColor rgb="FFFFF2CC"/>
        </x:patternFill>
      </x:fill>
    </x:dxf>
    <x:dxf>
      <x:font>
        <x:b/>
        <x:color rgb="FF285B18"/>
      </x:font>
      <x:fill>
        <x:patternFill patternType="solid">
          <x:bgColor rgb="FFE2F0D9"/>
        </x:patternFill>
      </x:fill>
    </x:dxf>
    <x:dxf>
      <x:font>
        <x:b/>
        <x:color rgb="FF9C0006"/>
      </x:font>
      <x:fill>
        <x:patternFill patternType="solid">
          <x:bgColor rgb="FFFCE4D6"/>
        </x:patternFill>
      </x:fill>
    </x:dxf>
    <x:dxf>
      <x:font>
        <x:b/>
        <x:color rgb="FF285B18"/>
      </x:font>
      <x:fill>
        <x:patternFill patternType="solid">
          <x:bgColor rgb="FFE2F0D9"/>
        </x:patternFill>
      </x:fill>
    </x:dxf>
    <x:dxf>
      <x:font>
        <x:i/>
        <x:color rgb="FF555555"/>
      </x:font>
      <x:fill>
        <x:patternFill patternType="solid">
          <x:bgColor rgb="FFE7E6E6"/>
        </x:patternFill>
      </x:fill>
    </x:dxf>
    <x:dxf>
      <x:font>
        <x:b/>
        <x:color rgb="FF7F6000"/>
      </x:font>
      <x:fill>
        <x:patternFill patternType="solid">
          <x:bgColor rgb="FFFFF2CC"/>
        </x:patternFill>
      </x:fill>
    </x:dxf>
    <x:dxf>
      <x:font>
        <x:b/>
        <x:color rgb="FF285B18"/>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39e589fc75a4863" /><Relationship Type="http://schemas.openxmlformats.org/officeDocument/2006/relationships/theme" Target="/xl/theme/theme1.xml" Id="Reccdd0e6de974fc8" /><Relationship Type="http://schemas.openxmlformats.org/officeDocument/2006/relationships/sharedStrings" Target="/xl/sharedStrings.xml" Id="Rdc1440e4fae7499b" /><Relationship Type="http://schemas.openxmlformats.org/officeDocument/2006/relationships/worksheet" Target="/xl/worksheets/sheet1.xml" Id="R5211e035c1234702" /><Relationship Type="http://schemas.openxmlformats.org/officeDocument/2006/relationships/worksheet" Target="/xl/worksheets/sheet2.xml" Id="Raa28a491fa644bc8" /><Relationship Type="http://schemas.openxmlformats.org/officeDocument/2006/relationships/worksheet" Target="/xl/worksheets/sheet3.xml" Id="Re48175485b2948e9" /><Relationship Type="http://schemas.openxmlformats.org/officeDocument/2006/relationships/worksheet" Target="/xl/worksheets/sheet4.xml" Id="R5af7f63ec51241d7" /></Relationships>
</file>

<file path=xl/tables/table1.xml><?xml version="1.0" encoding="utf-8"?>
<x:table xmlns:x="http://schemas.openxmlformats.org/spreadsheetml/2006/main" id="1" name="HREvidenceTable" displayName="HREvidenceTable" ref="A4:N45" headerRowCount="1" totalsRowCount="0" totalsRowShown="0">
  <x:tableColumns count="14">
    <x:tableColumn id="1" name="Excel Row"/>
    <x:tableColumn id="2" name="Sub-module"/>
    <x:tableColumn id="3" name="Test Case / Details"/>
    <x:tableColumn id="4" name="Requirement / Priority"/>
    <x:tableColumn id="5" name="Latest TA Remark"/>
    <x:tableColumn id="6" name="Latest HB Status"/>
    <x:tableColumn id="7" name="All HB Remarks / Comments"/>
    <x:tableColumn id="8" name="Scope"/>
    <x:tableColumn id="9" name="Release Assessment"/>
    <x:tableColumn id="10" name="Implementation / Evidence"/>
    <x:tableColumn id="11" name="Verification Performed"/>
    <x:tableColumn id="12" name="Live UAT Retest"/>
    <x:tableColumn id="13" name="UAT Tester"/>
    <x:tableColumn id="14" name="UAT Date"/>
  </x:tableColumns>
  <x:tableStyleInfo name="TableStyleMedium2" showFirstColumn="0" showLastColumn="0" showRowStripes="1" showColumnStripes="0"/>
</x:table>
</file>

<file path=xl/tables/table2.xml><?xml version="1.0" encoding="utf-8"?>
<x:table xmlns:x="http://schemas.openxmlformats.org/spreadsheetml/2006/main" id="2" name="FinanceEvidenceTable" displayName="FinanceEvidenceTable" ref="A4:N46" headerRowCount="1" totalsRowCount="0" totalsRowShown="0">
  <x:tableColumns count="14">
    <x:tableColumn id="1" name="Excel Row"/>
    <x:tableColumn id="2" name="Sub-module"/>
    <x:tableColumn id="3" name="Test Case / Details"/>
    <x:tableColumn id="4" name="Requirement / Priority"/>
    <x:tableColumn id="5" name="Latest TA Remark"/>
    <x:tableColumn id="6" name="Latest HB Status"/>
    <x:tableColumn id="7" name="All HB Remarks / Comments"/>
    <x:tableColumn id="8" name="Scope"/>
    <x:tableColumn id="9" name="Release Assessment"/>
    <x:tableColumn id="10" name="Implementation / Evidence"/>
    <x:tableColumn id="11" name="Verification Performed"/>
    <x:tableColumn id="12" name="Live UAT Retest"/>
    <x:tableColumn id="13" name="UAT Tester"/>
    <x:tableColumn id="14" name="UAT Date"/>
  </x:tableColumns>
  <x:tableStyleInfo name="TableStyleMedium2" showFirstColumn="0" showLastColumn="0" showRowStripes="1" showColumnStripes="0"/>
</x:table>
</file>

<file path=xl/tables/table3.xml><?xml version="1.0" encoding="utf-8"?>
<x:table xmlns:x="http://schemas.openxmlformats.org/spreadsheetml/2006/main" id="3" name="FacilityEvidenceTable" displayName="FacilityEvidenceTable" ref="A4:N63" headerRowCount="1" totalsRowCount="0" totalsRowShown="0">
  <x:tableColumns count="14">
    <x:tableColumn id="1" name="Excel Row"/>
    <x:tableColumn id="2" name="Sub-module"/>
    <x:tableColumn id="3" name="Test Case / Details"/>
    <x:tableColumn id="4" name="Requirement / Priority"/>
    <x:tableColumn id="5" name="Latest TA Remark"/>
    <x:tableColumn id="6" name="Latest HB Status"/>
    <x:tableColumn id="7" name="All HB Remarks / Comments"/>
    <x:tableColumn id="8" name="Scope"/>
    <x:tableColumn id="9" name="Release Assessment"/>
    <x:tableColumn id="10" name="Implementation / Evidence"/>
    <x:tableColumn id="11" name="Verification Performed"/>
    <x:tableColumn id="12" name="Live UAT Retest"/>
    <x:tableColumn id="13" name="UAT Tester"/>
    <x:tableColumn id="14" name="UAT 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f471abe6b614e99" /></Relationships>
</file>

<file path=xl/worksheets/_rels/sheet3.xml.rels>&#65279;<?xml version="1.0" encoding="utf-8"?><Relationships xmlns="http://schemas.openxmlformats.org/package/2006/relationships"><Relationship Type="http://schemas.openxmlformats.org/officeDocument/2006/relationships/table" Target="/xl/tables/table2.xml" Id="Rf7459c395d7e4eb3" /></Relationships>
</file>

<file path=xl/worksheets/_rels/sheet4.xml.rels>&#65279;<?xml version="1.0" encoding="utf-8"?><Relationships xmlns="http://schemas.openxmlformats.org/package/2006/relationships"><Relationship Type="http://schemas.openxmlformats.org/officeDocument/2006/relationships/table" Target="/xl/tables/table3.xml" Id="R456c8bd663ca490f"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42" hidden="0" customWidth="1"/>
    <x:col min="3" max="3" width="22" hidden="0" customWidth="1"/>
    <x:col min="4" max="4" width="22" hidden="0" customWidth="1"/>
    <x:col min="5" max="5" width="22" hidden="0" customWidth="1"/>
    <x:col min="6" max="6" width="22" hidden="0" customWidth="1"/>
  </x:cols>
  <x:sheetData>
    <x:row r="1" ht="34" customHeight="1">
      <x:c r="A1" s="39" t="str">
        <x:v>HIJRA SSP UAT — Release evidence summary</x:v>
      </x:c>
      <x:c r="B1" s="39"/>
      <x:c r="C1" s="39"/>
      <x:c r="D1" s="39"/>
      <x:c r="E1" s="39"/>
      <x:c r="F1" s="39"/>
    </x:row>
    <x:row r="2" ht="25" customHeight="1">
      <x:c r="A2" s="41" t="str">
        <x:v>Prepared 28 July 2026 • HR + Finance + Facility • all source rows, remarks, and Facility legacy comments included</x:v>
      </x:c>
      <x:c r="B2" s="41"/>
      <x:c r="C2" s="41"/>
      <x:c r="D2" s="41"/>
      <x:c r="E2" s="41"/>
      <x:c r="F2" s="41"/>
    </x:row>
    <x:row r="4" ht="30" customHeight="1">
      <x:c r="A4" s="44" t="str">
        <x:v>Module</x:v>
      </x:c>
      <x:c r="B4" s="44" t="str">
        <x:v>Test Rows</x:v>
      </x:c>
      <x:c r="C4" s="44" t="str">
        <x:v>Bank Source Pass</x:v>
      </x:c>
      <x:c r="D4" s="44" t="str">
        <x:v>Fix / Comment Fix</x:v>
      </x:c>
      <x:c r="E4" s="44" t="str">
        <x:v>Out of Scope</x:v>
      </x:c>
      <x:c r="F4" s="44" t="str">
        <x:v>Pending Live BC UAT</x:v>
      </x:c>
    </x:row>
    <x:row r="5" ht="24" customHeight="1">
      <x:c r="A5" s="46" t="str">
        <x:v>HR</x:v>
      </x:c>
      <x:c r="B5" s="47" t="n">
        <x:f>COUNTA('HR'!$A$5:$A$45)</x:f>
        <x:v>41</x:v>
      </x:c>
      <x:c r="C5" s="47" t="n">
        <x:f>COUNTIF('HR'!$F$5:$F$45,"Pass")</x:f>
        <x:v>29</x:v>
      </x:c>
      <x:c r="D5" s="47" t="n">
        <x:f>COUNTIF('HR'!$I$5:$I$45,"Code fix implemented")+COUNTIF('HR'!$I$5:$I$45,"Comment-driven fix implemented")</x:f>
        <x:v>12</x:v>
      </x:c>
      <x:c r="E5" s="47" t="n">
        <x:f>COUNTIF('HR'!$H$5:$H$45,"Out of Scope")</x:f>
        <x:v>0</x:v>
      </x:c>
      <x:c r="F5" s="47" t="n">
        <x:f>COUNTIF('HR'!$L$5:$L$45,"Pending live BC UAT")</x:f>
        <x:v>12</x:v>
      </x:c>
    </x:row>
    <x:row r="6" ht="24" customHeight="1">
      <x:c r="A6" s="46" t="str">
        <x:v>Finance</x:v>
      </x:c>
      <x:c r="B6" s="47" t="n">
        <x:f>COUNTA('Finance'!$A$5:$A$46)</x:f>
        <x:v>42</x:v>
      </x:c>
      <x:c r="C6" s="47" t="n">
        <x:f>COUNTIF('Finance'!$F$5:$F$46,"Pass")</x:f>
        <x:v>22</x:v>
      </x:c>
      <x:c r="D6" s="47" t="n">
        <x:f>COUNTIF('Finance'!$I$5:$I$46,"Code fix implemented")+COUNTIF('Finance'!$I$5:$I$46,"Comment-driven fix implemented")</x:f>
        <x:v>20</x:v>
      </x:c>
      <x:c r="E6" s="47" t="n">
        <x:f>COUNTIF('Finance'!$H$5:$H$46,"Out of Scope")</x:f>
        <x:v>0</x:v>
      </x:c>
      <x:c r="F6" s="47" t="n">
        <x:f>COUNTIF('Finance'!$L$5:$L$46,"Pending live BC UAT")</x:f>
        <x:v>20</x:v>
      </x:c>
    </x:row>
    <x:row r="7" ht="24" customHeight="1">
      <x:c r="A7" s="46" t="str">
        <x:v>Facility</x:v>
      </x:c>
      <x:c r="B7" s="47" t="n">
        <x:f>COUNTA('Facility'!$A$5:$A$63)</x:f>
        <x:v>59</x:v>
      </x:c>
      <x:c r="C7" s="47" t="n">
        <x:f>COUNTIF('Facility'!$F$5:$F$63,"Pass")</x:f>
        <x:v>20</x:v>
      </x:c>
      <x:c r="D7" s="47" t="n">
        <x:f>COUNTIF('Facility'!$I$5:$I$63,"Code fix implemented")+COUNTIF('Facility'!$I$5:$I$63,"Comment-driven fix implemented")</x:f>
        <x:v>27</x:v>
      </x:c>
      <x:c r="E7" s="47" t="n">
        <x:f>COUNTIF('Facility'!$H$5:$H$63,"Out of Scope")</x:f>
        <x:v>17</x:v>
      </x:c>
      <x:c r="F7" s="47" t="n">
        <x:f>COUNTIF('Facility'!$L$5:$L$63,"Pending live BC UAT")</x:f>
        <x:v>27</x:v>
      </x:c>
    </x:row>
    <x:row r="8" ht="24" customHeight="1">
      <x:c r="A8" s="52" t="str">
        <x:v>TOTAL</x:v>
      </x:c>
      <x:c r="B8" s="53" t="n">
        <x:f>SUM(B5:B7)</x:f>
        <x:v>142</x:v>
      </x:c>
      <x:c r="C8" s="53" t="n">
        <x:f>SUM(C5:C7)</x:f>
        <x:v>71</x:v>
      </x:c>
      <x:c r="D8" s="53" t="n">
        <x:f>SUM(D5:D7)</x:f>
        <x:v>59</x:v>
      </x:c>
      <x:c r="E8" s="53" t="n">
        <x:f>SUM(E5:E7)</x:f>
        <x:v>17</x:v>
      </x:c>
      <x:c r="F8" s="53" t="n">
        <x:f>SUM(F5:F7)</x:f>
        <x:v>59</x:v>
      </x:c>
    </x:row>
    <x:row r="10" ht="25" customHeight="1">
      <x:c r="A10" s="55" t="str">
        <x:v>Release verification</x:v>
      </x:c>
      <x:c r="B10" s="55"/>
      <x:c r="C10" s="55"/>
      <x:c r="D10" s="55"/>
      <x:c r="E10" s="55"/>
      <x:c r="F10" s="55"/>
    </x:row>
    <x:row r="11" ht="15" hidden="0" customHeight="1">
      <x:c r="A11" s="57" t="str">
        <x:v>Backend TypeScript type-check</x:v>
      </x:c>
      <x:c r="B11" s="59" t="str">
        <x:v>PASS</x:v>
      </x:c>
    </x:row>
    <x:row r="12" ht="15" hidden="0" customHeight="1">
      <x:c r="A12" s="57" t="str">
        <x:v>Portal on-prem production build</x:v>
      </x:c>
      <x:c r="B12" s="59" t="str">
        <x:v>PASS</x:v>
      </x:c>
    </x:row>
    <x:row r="13" ht="15" hidden="0" customHeight="1">
      <x:c r="A13" s="57" t="str">
        <x:v>Automated backend tests</x:v>
      </x:c>
      <x:c r="B13" s="59" t="str">
        <x:v>75 PASS / 0 FAIL</x:v>
      </x:c>
    </x:row>
    <x:row r="14" ht="15" hidden="0" customHeight="1">
      <x:c r="A14" s="57" t="str">
        <x:v>Business Central AL object duplicate scan</x:v>
      </x:c>
      <x:c r="B14" s="59" t="str">
        <x:v>3,806 objects / 0 duplicate type+ID pairs</x:v>
      </x:c>
    </x:row>
    <x:row r="15" ht="39.599998474121094" hidden="0" customHeight="1">
      <x:c r="A15" s="57" t="str">
        <x:v>Full legacy AL project compile</x:v>
      </x:c>
      <x:c r="B15" s="61" t="str">
        <x:v>BASELINE BLOCKED — 31 pre-existing errors in 3 legacy files; no new error reported in added UAT objects</x:v>
      </x:c>
    </x:row>
    <x:row r="16" ht="15" hidden="0" customHeight="1">
      <x:c r="A16" s="57" t="str">
        <x:v>Live Business Central publish + UAT</x:v>
      </x:c>
      <x:c r="B16" s="61" t="str">
        <x:v>PENDING — required before reporting all Pass</x:v>
      </x:c>
    </x:row>
    <x:row r="18" ht="38" customHeight="1">
      <x:c r="A18" s="65" t="str">
        <x:v>Do not submit this report as “all pass” yet. Update column L on the HR, Finance, and Facility tabs only after each live Business Central retest.</x:v>
      </x:c>
      <x:c r="B18" s="65"/>
      <x:c r="C18" s="65"/>
      <x:c r="D18" s="65"/>
      <x:c r="E18" s="65"/>
      <x:c r="F18" s="65"/>
    </x:row>
  </x:sheetData>
  <x:mergeCells>
    <x:mergeCell ref="A1:F1"/>
    <x:mergeCell ref="A2:F2"/>
    <x:mergeCell ref="A10:F10"/>
    <x:mergeCell ref="A18:F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2" hidden="0" customWidth="1"/>
    <x:col min="3" max="3" width="42" hidden="0" customWidth="1"/>
    <x:col min="4" max="4" width="18" hidden="0" customWidth="1"/>
    <x:col min="5" max="5" width="19" hidden="0" customWidth="1"/>
    <x:col min="6" max="6" width="16" hidden="0" customWidth="1"/>
    <x:col min="7" max="7" width="48" hidden="0" customWidth="1"/>
    <x:col min="8" max="8" width="14" hidden="0" customWidth="1"/>
    <x:col min="9" max="9" width="24" hidden="0" customWidth="1"/>
    <x:col min="10" max="10" width="52" hidden="0" customWidth="1"/>
    <x:col min="11" max="11" width="42" hidden="0" customWidth="1"/>
    <x:col min="12" max="12" width="21" hidden="0" customWidth="1"/>
    <x:col min="13" max="13" width="18" hidden="0" customWidth="1"/>
    <x:col min="14" max="14" width="14" hidden="0" customWidth="1"/>
  </x:cols>
  <x:sheetData>
    <x:row r="1" ht="30" customHeight="1">
      <x:c r="A1" s="3" t="str">
        <x:v>HIJRA SSP HR — Row-by-row UAT evidence</x:v>
      </x:c>
      <x:c r="B1" s="3"/>
      <x:c r="C1" s="3"/>
      <x:c r="D1" s="3"/>
      <x:c r="E1" s="3"/>
      <x:c r="F1" s="3"/>
      <x:c r="G1" s="3"/>
      <x:c r="H1" s="3"/>
      <x:c r="I1" s="3"/>
      <x:c r="J1" s="3"/>
      <x:c r="K1" s="3"/>
      <x:c r="L1" s="3"/>
      <x:c r="M1" s="3"/>
      <x:c r="N1" s="3"/>
    </x:row>
    <x:row r="2" ht="23" customHeight="1">
      <x:c r="A2" s="6" t="str">
        <x:v>Source: /Users/abhishekbehera/Downloads/SSP HR HB Update Jul 26 2026 (2) (1).xlsx</x:v>
      </x:c>
      <x:c r="B2" s="6"/>
      <x:c r="C2" s="6"/>
      <x:c r="D2" s="6"/>
      <x:c r="E2" s="6"/>
      <x:c r="F2" s="6"/>
      <x:c r="G2" s="6"/>
      <x:c r="H2" s="6"/>
      <x:c r="I2" s="6"/>
      <x:c r="J2" s="6"/>
      <x:c r="K2" s="6"/>
      <x:c r="L2" s="6"/>
      <x:c r="M2" s="6"/>
      <x:c r="N2" s="6"/>
    </x:row>
    <x:row r="3" ht="34" customHeight="1">
      <x:c r="A3" s="10" t="str">
        <x:v>Important: “Code fix implemented” means the local source/build checks passed. Enter Pass only after publishing the AL app and portal, then retesting against live Business Central.</x:v>
      </x:c>
      <x:c r="B3" s="10"/>
      <x:c r="C3" s="10"/>
      <x:c r="D3" s="10"/>
      <x:c r="E3" s="10"/>
      <x:c r="F3" s="10"/>
      <x:c r="G3" s="10"/>
      <x:c r="H3" s="10"/>
      <x:c r="I3" s="10"/>
      <x:c r="J3" s="10"/>
      <x:c r="K3" s="10"/>
      <x:c r="L3" s="10"/>
      <x:c r="M3" s="10"/>
      <x:c r="N3" s="10"/>
    </x:row>
    <x:row r="4" ht="34" customHeight="1">
      <x:c r="A4" s="19" t="str">
        <x:v>Excel Row</x:v>
      </x:c>
      <x:c r="B4" s="20" t="str">
        <x:v>Sub-module</x:v>
      </x:c>
      <x:c r="C4" s="20" t="str">
        <x:v>Test Case / Details</x:v>
      </x:c>
      <x:c r="D4" s="20" t="str">
        <x:v>Requirement / Priority</x:v>
      </x:c>
      <x:c r="E4" s="20" t="str">
        <x:v>Latest TA Remark</x:v>
      </x:c>
      <x:c r="F4" s="20" t="str">
        <x:v>Latest HB Status</x:v>
      </x:c>
      <x:c r="G4" s="20" t="str">
        <x:v>All HB Remarks / Comments</x:v>
      </x:c>
      <x:c r="H4" s="20" t="str">
        <x:v>Scope</x:v>
      </x:c>
      <x:c r="I4" s="20" t="str">
        <x:v>Release Assessment</x:v>
      </x:c>
      <x:c r="J4" s="20" t="str">
        <x:v>Implementation / Evidence</x:v>
      </x:c>
      <x:c r="K4" s="20" t="str">
        <x:v>Verification Performed</x:v>
      </x:c>
      <x:c r="L4" s="20" t="str">
        <x:v>Live UAT Retest</x:v>
      </x:c>
      <x:c r="M4" s="20" t="str">
        <x:v>UAT Tester</x:v>
      </x:c>
      <x:c r="N4" s="21" t="str">
        <x:v>UAT Date</x:v>
      </x:c>
    </x:row>
    <x:row r="5" ht="43.20000076293945" hidden="0" customHeight="1">
      <x:c r="A5" s="32" t="n">
        <x:v>3</x:v>
      </x:c>
      <x:c r="B5" s="29" t="str">
        <x:v>Registration and Login</x:v>
      </x:c>
      <x:c r="C5" s="29" t="str">
        <x:v>Able to login with staff Number</x:v>
      </x:c>
      <x:c r="D5" s="32" t="str">
        <x:v>MANDATORY</x:v>
      </x:c>
      <x:c r="E5" s="32" t="str">
        <x:v>Implemented</x:v>
      </x:c>
      <x:c r="F5" s="32" t="str">
        <x:v>Pass</x:v>
      </x:c>
      <x:c r="G5" s="29" t="str">
        <x:v>HB Remarks: Pass
Hbstatus as of july14: Pass
HB REMARKS 22nd july 2026: Pass
HB Status july27: Pass</x:v>
      </x:c>
      <x:c r="H5" s="32" t="str">
        <x:v>In Scope</x:v>
      </x:c>
      <x:c r="I5" s="32" t="str">
        <x:v>Bank marked Pass — retained</x:v>
      </x:c>
      <x:c r="J5" s="29" t="str">
        <x:v>Existing Registration and Login workflow retained; no module or navigation removal is included in this release.</x:v>
      </x:c>
      <x:c r="K5" s="29" t="str">
        <x:v>Source workbook is marked Pass; full portal/backend regression build passed.</x:v>
      </x:c>
      <x:c r="L5" s="32" t="str">
        <x:v>Bank source says Pass</x:v>
      </x:c>
      <x:c r="M5" s="32" t="str"/>
      <x:c r="N5" s="35" t="str"/>
    </x:row>
    <x:row r="6" ht="43.20000076293945" hidden="0" customHeight="1">
      <x:c r="A6" s="33" t="n">
        <x:v>4</x:v>
      </x:c>
      <x:c r="B6" s="30" t="str">
        <x:v>Registration and Login</x:v>
      </x:c>
      <x:c r="C6" s="30" t="str">
        <x:v>Able to Reset forgot password Password</x:v>
      </x:c>
      <x:c r="D6" s="33" t="str">
        <x:v>MANDATORY</x:v>
      </x:c>
      <x:c r="E6" s="33" t="str">
        <x:v>Implemented</x:v>
      </x:c>
      <x:c r="F6" s="33" t="str">
        <x:v>Pass</x:v>
      </x:c>
      <x:c r="G6" s="30" t="str">
        <x:v>HB Remarks: Pass
Hbstatus as of july14: Pass
HB REMARKS 22nd july 2026: Pass
HB Status july27: Pass</x:v>
      </x:c>
      <x:c r="H6" s="33" t="str">
        <x:v>In Scope</x:v>
      </x:c>
      <x:c r="I6" s="33" t="str">
        <x:v>Bank marked Pass — retained</x:v>
      </x:c>
      <x:c r="J6" s="30" t="str">
        <x:v>Existing Registration and Login workflow retained; no module or navigation removal is included in this release.</x:v>
      </x:c>
      <x:c r="K6" s="30" t="str">
        <x:v>Source workbook is marked Pass; full portal/backend regression build passed.</x:v>
      </x:c>
      <x:c r="L6" s="33" t="str">
        <x:v>Bank source says Pass</x:v>
      </x:c>
      <x:c r="M6" s="33" t="str"/>
      <x:c r="N6" s="36" t="str"/>
    </x:row>
    <x:row r="7" ht="43.20000076293945" hidden="0" customHeight="1">
      <x:c r="A7" s="33" t="n">
        <x:v>5</x:v>
      </x:c>
      <x:c r="B7" s="30" t="str">
        <x:v>Registration and Login</x:v>
      </x:c>
      <x:c r="C7" s="30" t="str">
        <x:v>Able to receive Reset Token on Email</x:v>
      </x:c>
      <x:c r="D7" s="33" t="str">
        <x:v>MANDATORY</x:v>
      </x:c>
      <x:c r="E7" s="33" t="str">
        <x:v>Implemented</x:v>
      </x:c>
      <x:c r="F7" s="33" t="str">
        <x:v>Pass</x:v>
      </x:c>
      <x:c r="G7" s="30" t="str">
        <x:v>HB Remarks: Pass
Hbstatus as of july14: Pass
HB REMARKS 22nd july 2026: Pass
HB Status july27: Pass</x:v>
      </x:c>
      <x:c r="H7" s="33" t="str">
        <x:v>In Scope</x:v>
      </x:c>
      <x:c r="I7" s="33" t="str">
        <x:v>Bank marked Pass — retained</x:v>
      </x:c>
      <x:c r="J7" s="30" t="str">
        <x:v>Existing Registration and Login workflow retained; no module or navigation removal is included in this release.</x:v>
      </x:c>
      <x:c r="K7" s="30" t="str">
        <x:v>Source workbook is marked Pass; full portal/backend regression build passed.</x:v>
      </x:c>
      <x:c r="L7" s="33" t="str">
        <x:v>Bank source says Pass</x:v>
      </x:c>
      <x:c r="M7" s="33" t="str"/>
      <x:c r="N7" s="36" t="str"/>
    </x:row>
    <x:row r="8" ht="43.20000076293945" hidden="0" customHeight="1">
      <x:c r="A8" s="33" t="n">
        <x:v>6</x:v>
      </x:c>
      <x:c r="B8" s="30" t="str">
        <x:v>Registration and Login</x:v>
      </x:c>
      <x:c r="C8" s="30" t="str">
        <x:v>Able to navigate to Landing Dashboard</x:v>
      </x:c>
      <x:c r="D8" s="33" t="str">
        <x:v>MANDATORY</x:v>
      </x:c>
      <x:c r="E8" s="33" t="str">
        <x:v>Implemented</x:v>
      </x:c>
      <x:c r="F8" s="33" t="str">
        <x:v>Pass</x:v>
      </x:c>
      <x:c r="G8" s="30" t="str">
        <x:v>HB Remarks: Pass
Hbstatus as of july14: Pass
HB REMARKS 22nd july 2026: Pass
HB Status july27: Pass</x:v>
      </x:c>
      <x:c r="H8" s="33" t="str">
        <x:v>In Scope</x:v>
      </x:c>
      <x:c r="I8" s="33" t="str">
        <x:v>Bank marked Pass — retained</x:v>
      </x:c>
      <x:c r="J8" s="30" t="str">
        <x:v>Existing Registration and Login workflow retained; no module or navigation removal is included in this release.</x:v>
      </x:c>
      <x:c r="K8" s="30" t="str">
        <x:v>Source workbook is marked Pass; full portal/backend regression build passed.</x:v>
      </x:c>
      <x:c r="L8" s="33" t="str">
        <x:v>Bank source says Pass</x:v>
      </x:c>
      <x:c r="M8" s="33" t="str"/>
      <x:c r="N8" s="36" t="str"/>
    </x:row>
    <x:row r="9" ht="43.20000076293945" hidden="0" customHeight="1">
      <x:c r="A9" s="33" t="n">
        <x:v>7</x:v>
      </x:c>
      <x:c r="B9" s="30" t="str">
        <x:v>Registration and Login</x:v>
      </x:c>
      <x:c r="C9" s="30" t="str">
        <x:v>Able to view Employee Profile</x:v>
      </x:c>
      <x:c r="D9" s="33" t="str">
        <x:v>MANDATORY</x:v>
      </x:c>
      <x:c r="E9" s="33" t="str">
        <x:v>Implemented</x:v>
      </x:c>
      <x:c r="F9" s="33" t="str">
        <x:v>Pass</x:v>
      </x:c>
      <x:c r="G9" s="30" t="str">
        <x:v>HB Remarks: Pass
Hbstatus as of july14: Pass
HB REMARKS 22nd july 2026: Pass
HB Status july27: Pass</x:v>
      </x:c>
      <x:c r="H9" s="33" t="str">
        <x:v>In Scope</x:v>
      </x:c>
      <x:c r="I9" s="33" t="str">
        <x:v>Bank marked Pass — retained</x:v>
      </x:c>
      <x:c r="J9" s="30" t="str">
        <x:v>Existing Registration and Login workflow retained; no module or navigation removal is included in this release.</x:v>
      </x:c>
      <x:c r="K9" s="30" t="str">
        <x:v>Source workbook is marked Pass; full portal/backend regression build passed.</x:v>
      </x:c>
      <x:c r="L9" s="33" t="str">
        <x:v>Bank source says Pass</x:v>
      </x:c>
      <x:c r="M9" s="33" t="str"/>
      <x:c r="N9" s="36" t="str"/>
    </x:row>
    <x:row r="10" ht="43.20000076293945" hidden="0" customHeight="1">
      <x:c r="A10" s="33" t="n">
        <x:v>8</x:v>
      </x:c>
      <x:c r="B10" s="30" t="str">
        <x:v>Registration and Login</x:v>
      </x:c>
      <x:c r="C10" s="30" t="str">
        <x:v>Able to Change Password</x:v>
      </x:c>
      <x:c r="D10" s="33" t="str">
        <x:v>MANDATORY</x:v>
      </x:c>
      <x:c r="E10" s="33" t="str">
        <x:v>Implemented</x:v>
      </x:c>
      <x:c r="F10" s="33" t="str">
        <x:v>Pass</x:v>
      </x:c>
      <x:c r="G10" s="30" t="str">
        <x:v>HB Remarks: Pass
Hbstatus as of july14: Pass
HB REMARKS 22nd july 2026: Pass
HB Status july27: Pass</x:v>
      </x:c>
      <x:c r="H10" s="33" t="str">
        <x:v>In Scope</x:v>
      </x:c>
      <x:c r="I10" s="33" t="str">
        <x:v>Bank marked Pass — retained</x:v>
      </x:c>
      <x:c r="J10" s="30" t="str">
        <x:v>Existing Registration and Login workflow retained; no module or navigation removal is included in this release.</x:v>
      </x:c>
      <x:c r="K10" s="30" t="str">
        <x:v>Source workbook is marked Pass; full portal/backend regression build passed.</x:v>
      </x:c>
      <x:c r="L10" s="33" t="str">
        <x:v>Bank source says Pass</x:v>
      </x:c>
      <x:c r="M10" s="33" t="str"/>
      <x:c r="N10" s="36" t="str"/>
    </x:row>
    <x:row r="11" ht="43.20000076293945" hidden="0" customHeight="1">
      <x:c r="A11" s="33" t="n">
        <x:v>9</x:v>
      </x:c>
      <x:c r="B11" s="30" t="str">
        <x:v>Registration and Login</x:v>
      </x:c>
      <x:c r="C11" s="30" t="str">
        <x:v>Able to View Dashboard Summary</x:v>
      </x:c>
      <x:c r="D11" s="33" t="str">
        <x:v>MANDATORY</x:v>
      </x:c>
      <x:c r="E11" s="33" t="str">
        <x:v>Implemented</x:v>
      </x:c>
      <x:c r="F11" s="33" t="str">
        <x:v>Pass</x:v>
      </x:c>
      <x:c r="G11" s="30" t="str">
        <x:v>HB Remarks: Pass
Hbstatus as of july14: Pass
HB REMARKS 22nd july 2026: Pass
HB Status july27: Pass</x:v>
      </x:c>
      <x:c r="H11" s="33" t="str">
        <x:v>In Scope</x:v>
      </x:c>
      <x:c r="I11" s="33" t="str">
        <x:v>Bank marked Pass — retained</x:v>
      </x:c>
      <x:c r="J11" s="30" t="str">
        <x:v>Existing Registration and Login workflow retained; no module or navigation removal is included in this release.</x:v>
      </x:c>
      <x:c r="K11" s="30" t="str">
        <x:v>Source workbook is marked Pass; full portal/backend regression build passed.</x:v>
      </x:c>
      <x:c r="L11" s="33" t="str">
        <x:v>Bank source says Pass</x:v>
      </x:c>
      <x:c r="M11" s="33" t="str"/>
      <x:c r="N11" s="36" t="str"/>
    </x:row>
    <x:row r="12" ht="64.80000305175781" hidden="0" customHeight="1">
      <x:c r="A12" s="33" t="n">
        <x:v>10</x:v>
      </x:c>
      <x:c r="B12" s="30" t="str">
        <x:v>Leave Management</x:v>
      </x:c>
      <x:c r="C12" s="30" t="str">
        <x:v>Able to Request Leave</x:v>
      </x:c>
      <x:c r="D12" s="33" t="str">
        <x:v>MANDATORY</x:v>
      </x:c>
      <x:c r="E12" s="33" t="str">
        <x:v>Implemented</x:v>
      </x:c>
      <x:c r="F12" s="33" t="str">
        <x:v>Fail</x:v>
      </x:c>
      <x:c r="G12" s="30" t="str">
        <x:v>HB Remarks: Fail
Hbstatus as of july14: Fail
HB REMARKS 22nd july 2026: FAIL
HB Status july27: Fail
HB Remark july27: Canceled leave is considered as pending by the system and unable to modify requested leave( notify existence of pending leave)</x:v>
      </x:c>
      <x:c r="H12" s="33" t="str">
        <x:v>In Scope</x:v>
      </x:c>
      <x:c r="I12" s="33" t="str">
        <x:v>Code fix implemented</x:v>
      </x:c>
      <x:c r="J12" s="30" t="str">
        <x:v>Leave status now comes from Business Central; cancelled leave is not treated as pending, and Open/Draft requests remain editable.</x:v>
      </x:c>
      <x:c r="K12" s="30" t="str">
        <x:v>Backend type-check passed; on-prem portal build passed; 75 automated backend tests passed.</x:v>
      </x:c>
      <x:c r="L12" s="33" t="str">
        <x:v>Pending live BC UAT</x:v>
      </x:c>
      <x:c r="M12" s="33" t="str"/>
      <x:c r="N12" s="36" t="str"/>
    </x:row>
    <x:row r="13" ht="43.20000076293945" hidden="0" customHeight="1">
      <x:c r="A13" s="33" t="n">
        <x:v>11</x:v>
      </x:c>
      <x:c r="B13" s="30" t="str">
        <x:v>Leave Management</x:v>
      </x:c>
      <x:c r="C13" s="30" t="str">
        <x:v>Able to Select different Leave Type</x:v>
      </x:c>
      <x:c r="D13" s="33" t="str">
        <x:v>MANDATORY</x:v>
      </x:c>
      <x:c r="E13" s="33" t="str">
        <x:v>Implemented</x:v>
      </x:c>
      <x:c r="F13" s="33" t="str">
        <x:v>pass</x:v>
      </x:c>
      <x:c r="G13" s="30" t="str">
        <x:v>HB Remarks: Fail
Hbstatus as of july14: Pass
HB REMARKS 22nd july 2026: Pass
HB Status july27: pass</x:v>
      </x:c>
      <x:c r="H13" s="33" t="str">
        <x:v>In Scope</x:v>
      </x:c>
      <x:c r="I13" s="33" t="str">
        <x:v>Bank marked Pass — retained</x:v>
      </x:c>
      <x:c r="J13" s="30" t="str">
        <x:v>Existing Leave Management workflow retained; no module or navigation removal is included in this release.</x:v>
      </x:c>
      <x:c r="K13" s="30" t="str">
        <x:v>Source workbook is marked Pass; full portal/backend regression build passed.</x:v>
      </x:c>
      <x:c r="L13" s="33" t="str">
        <x:v>Bank source says Pass</x:v>
      </x:c>
      <x:c r="M13" s="33" t="str"/>
      <x:c r="N13" s="36" t="str"/>
    </x:row>
    <x:row r="14" ht="43.20000076293945" hidden="0" customHeight="1">
      <x:c r="A14" s="33" t="n">
        <x:v>12</x:v>
      </x:c>
      <x:c r="B14" s="30" t="str">
        <x:v>Leave Management</x:v>
      </x:c>
      <x:c r="C14" s="30" t="str">
        <x:v>Able to Send Leave application for Approval</x:v>
      </x:c>
      <x:c r="D14" s="33" t="str">
        <x:v>MANDATORY</x:v>
      </x:c>
      <x:c r="E14" s="33" t="str">
        <x:v>Implemented</x:v>
      </x:c>
      <x:c r="F14" s="33" t="str">
        <x:v>pass</x:v>
      </x:c>
      <x:c r="G14" s="30" t="str">
        <x:v>HB Remarks: Pass
Hbstatus as of july14: Pass
HB REMARKS 22nd july 2026: Pass
HB Status july27: pass</x:v>
      </x:c>
      <x:c r="H14" s="33" t="str">
        <x:v>In Scope</x:v>
      </x:c>
      <x:c r="I14" s="33" t="str">
        <x:v>Bank marked Pass — retained</x:v>
      </x:c>
      <x:c r="J14" s="30" t="str">
        <x:v>Existing Leave Management workflow retained; no module or navigation removal is included in this release.</x:v>
      </x:c>
      <x:c r="K14" s="30" t="str">
        <x:v>Source workbook is marked Pass; full portal/backend regression build passed.</x:v>
      </x:c>
      <x:c r="L14" s="33" t="str">
        <x:v>Bank source says Pass</x:v>
      </x:c>
      <x:c r="M14" s="33" t="str"/>
      <x:c r="N14" s="36" t="str"/>
    </x:row>
    <x:row r="15" ht="43.20000076293945" hidden="0" customHeight="1">
      <x:c r="A15" s="33" t="n">
        <x:v>13</x:v>
      </x:c>
      <x:c r="B15" s="30" t="str">
        <x:v>Leave Management</x:v>
      </x:c>
      <x:c r="C15" s="30" t="str">
        <x:v>Able to View Leave approver list and Sequence</x:v>
      </x:c>
      <x:c r="D15" s="33" t="str">
        <x:v>MANDATORY</x:v>
      </x:c>
      <x:c r="E15" s="33" t="str">
        <x:v>Implemented</x:v>
      </x:c>
      <x:c r="F15" s="33" t="str">
        <x:v>Pass</x:v>
      </x:c>
      <x:c r="G15" s="30" t="str">
        <x:v>HB Remarks: Pass
Hbstatus as of july14: Pass
HB REMARKS 22nd july 2026: Pass
HB Status july27: Pass</x:v>
      </x:c>
      <x:c r="H15" s="33" t="str">
        <x:v>In Scope</x:v>
      </x:c>
      <x:c r="I15" s="33" t="str">
        <x:v>Bank marked Pass — retained</x:v>
      </x:c>
      <x:c r="J15" s="30" t="str">
        <x:v>Existing Leave Management workflow retained; no module or navigation removal is included in this release.</x:v>
      </x:c>
      <x:c r="K15" s="30" t="str">
        <x:v>Source workbook is marked Pass; full portal/backend regression build passed.</x:v>
      </x:c>
      <x:c r="L15" s="33" t="str">
        <x:v>Bank source says Pass</x:v>
      </x:c>
      <x:c r="M15" s="33" t="str"/>
      <x:c r="N15" s="36" t="str"/>
    </x:row>
    <x:row r="16" ht="54" hidden="0" customHeight="1">
      <x:c r="A16" s="33" t="n">
        <x:v>14</x:v>
      </x:c>
      <x:c r="B16" s="30" t="str">
        <x:v>Leave Management</x:v>
      </x:c>
      <x:c r="C16" s="30" t="str">
        <x:v>Able to Print Leave Statement</x:v>
      </x:c>
      <x:c r="D16" s="33" t="str">
        <x:v>MANDATORY</x:v>
      </x:c>
      <x:c r="E16" s="33" t="str">
        <x:v>Implemented</x:v>
      </x:c>
      <x:c r="F16" s="33" t="str">
        <x:v>fail</x:v>
      </x:c>
      <x:c r="G16" s="30" t="str">
        <x:v>HB Remarks: Pass
Hbstatus as of july14: Pass
HB REMARKS 22nd july 2026: FAIL
HB Status july27: fail
HB Remark july27: Incorrect leave balance</x:v>
      </x:c>
      <x:c r="H16" s="33" t="str">
        <x:v>In Scope</x:v>
      </x:c>
      <x:c r="I16" s="33" t="str">
        <x:v>Code fix implemented</x:v>
      </x:c>
      <x:c r="J16" s="30" t="str">
        <x:v>Leave request and leave statement use the same Business Central leave-balance resolver.</x:v>
      </x:c>
      <x:c r="K16" s="30" t="str">
        <x:v>Backend type-check passed; on-prem portal build passed; 75 automated backend tests passed.</x:v>
      </x:c>
      <x:c r="L16" s="33" t="str">
        <x:v>Pending live BC UAT</x:v>
      </x:c>
      <x:c r="M16" s="33" t="str"/>
      <x:c r="N16" s="36" t="str"/>
    </x:row>
    <x:row r="17" ht="43.20000076293945" hidden="0" customHeight="1">
      <x:c r="A17" s="33" t="n">
        <x:v>15</x:v>
      </x:c>
      <x:c r="B17" s="30" t="str">
        <x:v>Leave Management</x:v>
      </x:c>
      <x:c r="C17" s="30" t="str">
        <x:v>System to check on Gender for Paternity and Maternity leave Type</x:v>
      </x:c>
      <x:c r="D17" s="33" t="str">
        <x:v>MANDATORY</x:v>
      </x:c>
      <x:c r="E17" s="33" t="str">
        <x:v>Implemented</x:v>
      </x:c>
      <x:c r="F17" s="33" t="str">
        <x:v>Pass</x:v>
      </x:c>
      <x:c r="G17" s="30" t="str">
        <x:v>HB Remarks: Pass
Hbstatus as of july14: Pass
HB REMARKS 22nd july 2026: Pass
HB Status july27: Pass</x:v>
      </x:c>
      <x:c r="H17" s="33" t="str">
        <x:v>In Scope</x:v>
      </x:c>
      <x:c r="I17" s="33" t="str">
        <x:v>Bank marked Pass — retained</x:v>
      </x:c>
      <x:c r="J17" s="30" t="str">
        <x:v>Existing Leave Management workflow retained; no module or navigation removal is included in this release.</x:v>
      </x:c>
      <x:c r="K17" s="30" t="str">
        <x:v>Source workbook is marked Pass; full portal/backend regression build passed.</x:v>
      </x:c>
      <x:c r="L17" s="33" t="str">
        <x:v>Bank source says Pass</x:v>
      </x:c>
      <x:c r="M17" s="33" t="str"/>
      <x:c r="N17" s="36" t="str"/>
    </x:row>
    <x:row r="18" ht="43.20000076293945" hidden="0" customHeight="1">
      <x:c r="A18" s="33" t="n">
        <x:v>16</x:v>
      </x:c>
      <x:c r="B18" s="30" t="str">
        <x:v>Leave Management</x:v>
      </x:c>
      <x:c r="C18" s="30" t="str">
        <x:v>Able to check the leave Status</x:v>
      </x:c>
      <x:c r="D18" s="33" t="str">
        <x:v>MANDATORY</x:v>
      </x:c>
      <x:c r="E18" s="33" t="str">
        <x:v>Implemented</x:v>
      </x:c>
      <x:c r="F18" s="33" t="str">
        <x:v>Pass</x:v>
      </x:c>
      <x:c r="G18" s="30" t="str">
        <x:v>HB Remarks: Pass
Hbstatus as of july14: Pass
HB REMARKS 22nd july 2026: Pass
HB Status july27: Pass</x:v>
      </x:c>
      <x:c r="H18" s="33" t="str">
        <x:v>In Scope</x:v>
      </x:c>
      <x:c r="I18" s="33" t="str">
        <x:v>Bank marked Pass — retained</x:v>
      </x:c>
      <x:c r="J18" s="30" t="str">
        <x:v>Existing Leave Management workflow retained; no module or navigation removal is included in this release.</x:v>
      </x:c>
      <x:c r="K18" s="30" t="str">
        <x:v>Source workbook is marked Pass; full portal/backend regression build passed.</x:v>
      </x:c>
      <x:c r="L18" s="33" t="str">
        <x:v>Bank source says Pass</x:v>
      </x:c>
      <x:c r="M18" s="33" t="str"/>
      <x:c r="N18" s="36" t="str"/>
    </x:row>
    <x:row r="19" ht="43.20000076293945" hidden="0" customHeight="1">
      <x:c r="A19" s="33" t="n">
        <x:v>17</x:v>
      </x:c>
      <x:c r="B19" s="30" t="str">
        <x:v>Attendance Management</x:v>
      </x:c>
      <x:c r="C19" s="30" t="str">
        <x:v>Able to Sign in and Sign out</x:v>
      </x:c>
      <x:c r="D19" s="33" t="str">
        <x:v>MANDATORY</x:v>
      </x:c>
      <x:c r="E19" s="33" t="str">
        <x:v>Implemented</x:v>
      </x:c>
      <x:c r="F19" s="33" t="str">
        <x:v>Pass</x:v>
      </x:c>
      <x:c r="G19" s="30" t="str">
        <x:v>HB Remarks: Pass
Hbstatus as of july14: Pass
HB REMARKS 22nd july 2026: Pass
HB Status july27: Pass</x:v>
      </x:c>
      <x:c r="H19" s="33" t="str">
        <x:v>In Scope</x:v>
      </x:c>
      <x:c r="I19" s="33" t="str">
        <x:v>Bank marked Pass — retained</x:v>
      </x:c>
      <x:c r="J19" s="30" t="str">
        <x:v>Existing Attendance Management workflow retained; no module or navigation removal is included in this release.</x:v>
      </x:c>
      <x:c r="K19" s="30" t="str">
        <x:v>Source workbook is marked Pass; full portal/backend regression build passed.</x:v>
      </x:c>
      <x:c r="L19" s="33" t="str">
        <x:v>Bank source says Pass</x:v>
      </x:c>
      <x:c r="M19" s="33" t="str"/>
      <x:c r="N19" s="36" t="str"/>
    </x:row>
    <x:row r="20" ht="43.20000076293945" hidden="0" customHeight="1">
      <x:c r="A20" s="33" t="n">
        <x:v>18</x:v>
      </x:c>
      <x:c r="B20" s="30" t="str">
        <x:v>Attendance Management</x:v>
      </x:c>
      <x:c r="C20" s="30" t="str">
        <x:v>Able to show Time signed in and Out</x:v>
      </x:c>
      <x:c r="D20" s="33" t="str">
        <x:v>MANDATORY</x:v>
      </x:c>
      <x:c r="E20" s="33" t="str">
        <x:v>Implemented</x:v>
      </x:c>
      <x:c r="F20" s="33" t="str">
        <x:v>Pass</x:v>
      </x:c>
      <x:c r="G20" s="30" t="str">
        <x:v>HB Remarks: Pass
Hbstatus as of july14: Pass
HB REMARKS 22nd july 2026: Pass
HB Status july27: Pass</x:v>
      </x:c>
      <x:c r="H20" s="33" t="str">
        <x:v>In Scope</x:v>
      </x:c>
      <x:c r="I20" s="33" t="str">
        <x:v>Bank marked Pass — retained</x:v>
      </x:c>
      <x:c r="J20" s="30" t="str">
        <x:v>Existing Attendance Management workflow retained; no module or navigation removal is included in this release.</x:v>
      </x:c>
      <x:c r="K20" s="30" t="str">
        <x:v>Source workbook is marked Pass; full portal/backend regression build passed.</x:v>
      </x:c>
      <x:c r="L20" s="33" t="str">
        <x:v>Bank source says Pass</x:v>
      </x:c>
      <x:c r="M20" s="33" t="str"/>
      <x:c r="N20" s="36" t="str"/>
    </x:row>
    <x:row r="21" ht="43.20000076293945" hidden="0" customHeight="1">
      <x:c r="A21" s="33" t="n">
        <x:v>19</x:v>
      </x:c>
      <x:c r="B21" s="30" t="str">
        <x:v>Attendance Management</x:v>
      </x:c>
      <x:c r="C21" s="30" t="str">
        <x:v>Able to show No of Hours worked</x:v>
      </x:c>
      <x:c r="D21" s="33" t="str">
        <x:v>MANDATORY</x:v>
      </x:c>
      <x:c r="E21" s="33" t="str">
        <x:v>Implemented</x:v>
      </x:c>
      <x:c r="F21" s="33" t="str">
        <x:v>pass</x:v>
      </x:c>
      <x:c r="G21" s="30" t="str">
        <x:v>HB Remarks: Pass
Hbstatus as of july14: Pass
HB REMARKS 22nd july 2026: Pass
HB Status july27: pass</x:v>
      </x:c>
      <x:c r="H21" s="33" t="str">
        <x:v>In Scope</x:v>
      </x:c>
      <x:c r="I21" s="33" t="str">
        <x:v>Bank marked Pass — retained</x:v>
      </x:c>
      <x:c r="J21" s="30" t="str">
        <x:v>Existing Attendance Management workflow retained; no module or navigation removal is included in this release.</x:v>
      </x:c>
      <x:c r="K21" s="30" t="str">
        <x:v>Source workbook is marked Pass; full portal/backend regression build passed.</x:v>
      </x:c>
      <x:c r="L21" s="33" t="str">
        <x:v>Bank source says Pass</x:v>
      </x:c>
      <x:c r="M21" s="33" t="str"/>
      <x:c r="N21" s="36" t="str"/>
    </x:row>
    <x:row r="22" ht="43.20000076293945" hidden="0" customHeight="1">
      <x:c r="A22" s="33" t="n">
        <x:v>20</x:v>
      </x:c>
      <x:c r="B22" s="30" t="str">
        <x:v>Attendance Management</x:v>
      </x:c>
      <x:c r="C22" s="30" t="str">
        <x:v>Able to show location Coordinates</x:v>
      </x:c>
      <x:c r="D22" s="33" t="str">
        <x:v>MANDATORY</x:v>
      </x:c>
      <x:c r="E22" s="33" t="str">
        <x:v>Implemented</x:v>
      </x:c>
      <x:c r="F22" s="33" t="str">
        <x:v>Pass</x:v>
      </x:c>
      <x:c r="G22" s="30" t="str">
        <x:v>HB Remarks: Pass
Hbstatus as of july14: Pass
HB REMARKS 22nd july 2026: Pass
HB Status july27: Pass</x:v>
      </x:c>
      <x:c r="H22" s="33" t="str">
        <x:v>In Scope</x:v>
      </x:c>
      <x:c r="I22" s="33" t="str">
        <x:v>Bank marked Pass — retained</x:v>
      </x:c>
      <x:c r="J22" s="30" t="str">
        <x:v>Existing Attendance Management workflow retained; no module or navigation removal is included in this release.</x:v>
      </x:c>
      <x:c r="K22" s="30" t="str">
        <x:v>Source workbook is marked Pass; full portal/backend regression build passed.</x:v>
      </x:c>
      <x:c r="L22" s="33" t="str">
        <x:v>Bank source says Pass</x:v>
      </x:c>
      <x:c r="M22" s="33" t="str"/>
      <x:c r="N22" s="36" t="str"/>
    </x:row>
    <x:row r="23" ht="43.20000076293945" hidden="0" customHeight="1">
      <x:c r="A23" s="33" t="n">
        <x:v>21</x:v>
      </x:c>
      <x:c r="B23" s="30" t="str">
        <x:v>Attendance Management</x:v>
      </x:c>
      <x:c r="C23" s="30" t="str">
        <x:v>Able to show HOD Staff attendees</x:v>
      </x:c>
      <x:c r="D23" s="33" t="str">
        <x:v>MANDATORY</x:v>
      </x:c>
      <x:c r="E23" s="33" t="str">
        <x:v>Implemented</x:v>
      </x:c>
      <x:c r="F23" s="33" t="str">
        <x:v>Fail</x:v>
      </x:c>
      <x:c r="G23" s="30" t="str">
        <x:v>HB Remarks: Fail
Hbstatus as of july14: fail
HB REMARKS 22nd july 2026: Pass
HB Status july27: Fail</x:v>
      </x:c>
      <x:c r="H23" s="33" t="str">
        <x:v>In Scope</x:v>
      </x:c>
      <x:c r="I23" s="33" t="str">
        <x:v>Code fix implemented</x:v>
      </x:c>
      <x:c r="J23" s="30" t="str">
        <x:v>HOD attendance is scoped to staff resolved through the supervisor/department relationship.</x:v>
      </x:c>
      <x:c r="K23" s="30" t="str">
        <x:v>Backend type-check passed; on-prem portal build passed; 75 automated backend tests passed.</x:v>
      </x:c>
      <x:c r="L23" s="33" t="str">
        <x:v>Pending live BC UAT</x:v>
      </x:c>
      <x:c r="M23" s="33" t="str"/>
      <x:c r="N23" s="36" t="str"/>
    </x:row>
    <x:row r="24" ht="43.20000076293945" hidden="0" customHeight="1">
      <x:c r="A24" s="33" t="n">
        <x:v>22</x:v>
      </x:c>
      <x:c r="B24" s="30" t="str">
        <x:v>Employee Profile</x:v>
      </x:c>
      <x:c r="C24" s="30" t="str">
        <x:v>Able to show employee No and Full Name</x:v>
      </x:c>
      <x:c r="D24" s="33" t="str">
        <x:v>MANDATORY</x:v>
      </x:c>
      <x:c r="E24" s="33" t="str">
        <x:v>Implemented</x:v>
      </x:c>
      <x:c r="F24" s="33" t="str">
        <x:v>Pass</x:v>
      </x:c>
      <x:c r="G24" s="30" t="str">
        <x:v>HB Remarks: Pass
Hbstatus as of july14: Pass
HB REMARKS 22nd july 2026: Pass
HB Status july27: Pass</x:v>
      </x:c>
      <x:c r="H24" s="33" t="str">
        <x:v>In Scope</x:v>
      </x:c>
      <x:c r="I24" s="33" t="str">
        <x:v>Bank marked Pass — retained</x:v>
      </x:c>
      <x:c r="J24" s="30" t="str">
        <x:v>Existing Employee Profile workflow retained; no module or navigation removal is included in this release.</x:v>
      </x:c>
      <x:c r="K24" s="30" t="str">
        <x:v>Source workbook is marked Pass; full portal/backend regression build passed.</x:v>
      </x:c>
      <x:c r="L24" s="33" t="str">
        <x:v>Bank source says Pass</x:v>
      </x:c>
      <x:c r="M24" s="33" t="str"/>
      <x:c r="N24" s="36" t="str"/>
    </x:row>
    <x:row r="25" ht="64.80000305175781" hidden="0" customHeight="1">
      <x:c r="A25" s="33" t="n">
        <x:v>23</x:v>
      </x:c>
      <x:c r="B25" s="30" t="str">
        <x:v>Employee Profile</x:v>
      </x:c>
      <x:c r="C25" s="30" t="str">
        <x:v>Able to show Employee Job Details</x:v>
      </x:c>
      <x:c r="D25" s="33" t="str">
        <x:v>MANDATORY</x:v>
      </x:c>
      <x:c r="E25" s="33" t="str">
        <x:v>Implemented</x:v>
      </x:c>
      <x:c r="F25" s="33" t="str">
        <x:v>Fail</x:v>
      </x:c>
      <x:c r="G25" s="30" t="str">
        <x:v>HB Remarks: Pass
Hbstatus as of july14: Pass
HB REMARKS 22nd july 2026: fail
HB Status july27: Fail
HB Remark july27: data integration mismuch(Unable to view correct department and division)</x:v>
      </x:c>
      <x:c r="H25" s="33" t="str">
        <x:v>In Scope</x:v>
      </x:c>
      <x:c r="I25" s="33" t="str">
        <x:v>Code fix implemented</x:v>
      </x:c>
      <x:c r="J25" s="30" t="str">
        <x:v>Employee profile resolves HR employee data and Business Central department/division dimension aliases.</x:v>
      </x:c>
      <x:c r="K25" s="30" t="str">
        <x:v>Backend type-check passed; on-prem portal build passed; 75 automated backend tests passed.</x:v>
      </x:c>
      <x:c r="L25" s="33" t="str">
        <x:v>Pending live BC UAT</x:v>
      </x:c>
      <x:c r="M25" s="33" t="str"/>
      <x:c r="N25" s="36" t="str"/>
    </x:row>
    <x:row r="26" ht="64.80000305175781" hidden="0" customHeight="1">
      <x:c r="A26" s="33" t="n">
        <x:v>24</x:v>
      </x:c>
      <x:c r="B26" s="30" t="str">
        <x:v>Employee Profile</x:v>
      </x:c>
      <x:c r="C26" s="30" t="str">
        <x:v>Able to show Employee Important Dates</x:v>
      </x:c>
      <x:c r="D26" s="33" t="str">
        <x:v>MANDATORY</x:v>
      </x:c>
      <x:c r="E26" s="33" t="str">
        <x:v>Implemented</x:v>
      </x:c>
      <x:c r="F26" s="33" t="str">
        <x:v>Fail</x:v>
      </x:c>
      <x:c r="G26" s="30" t="str">
        <x:v>HB Remarks: Fail
Hbstatus as of july14: fail
HB REMARKS 22nd july 2026: fail
HB Status july27: Fail
HB Remark july27: informations are not correct(year of service) others missed to display the date(Last promotion &amp; Retirement date)</x:v>
      </x:c>
      <x:c r="H26" s="33" t="str">
        <x:v>In Scope</x:v>
      </x:c>
      <x:c r="I26" s="33" t="str">
        <x:v>Code fix implemented</x:v>
      </x:c>
      <x:c r="J26" s="30" t="str">
        <x:v>Years of service, last promotion date, and retirement date aliases/calculations are included.</x:v>
      </x:c>
      <x:c r="K26" s="30" t="str">
        <x:v>Backend type-check passed; on-prem portal build passed; 75 automated backend tests passed.</x:v>
      </x:c>
      <x:c r="L26" s="33" t="str">
        <x:v>Pending live BC UAT</x:v>
      </x:c>
      <x:c r="M26" s="33" t="str"/>
      <x:c r="N26" s="36" t="str"/>
    </x:row>
    <x:row r="27" ht="43.20000076293945" hidden="0" customHeight="1">
      <x:c r="A27" s="33" t="n">
        <x:v>25</x:v>
      </x:c>
      <x:c r="B27" s="30" t="str">
        <x:v>Employee Profile</x:v>
      </x:c>
      <x:c r="C27" s="30" t="str">
        <x:v>Able to show Employee Next of Kin</x:v>
      </x:c>
      <x:c r="D27" s="33" t="str">
        <x:v>MANDATORY</x:v>
      </x:c>
      <x:c r="E27" s="33" t="str">
        <x:v>Implemented</x:v>
      </x:c>
      <x:c r="F27" s="33" t="str">
        <x:v>Pass</x:v>
      </x:c>
      <x:c r="G27" s="30" t="str">
        <x:v>HB Remarks: Pass
Hbstatus as of july14: Pass
HB REMARKS 22nd july 2026: Pass
HB Status july27: Pass</x:v>
      </x:c>
      <x:c r="H27" s="33" t="str">
        <x:v>In Scope</x:v>
      </x:c>
      <x:c r="I27" s="33" t="str">
        <x:v>Bank marked Pass — retained</x:v>
      </x:c>
      <x:c r="J27" s="30" t="str">
        <x:v>Existing Employee Profile workflow retained; no module or navigation removal is included in this release.</x:v>
      </x:c>
      <x:c r="K27" s="30" t="str">
        <x:v>Source workbook is marked Pass; full portal/backend regression build passed.</x:v>
      </x:c>
      <x:c r="L27" s="33" t="str">
        <x:v>Bank source says Pass</x:v>
      </x:c>
      <x:c r="M27" s="33" t="str"/>
      <x:c r="N27" s="36" t="str"/>
    </x:row>
    <x:row r="28" ht="54" hidden="0" customHeight="1">
      <x:c r="A28" s="33" t="n">
        <x:v>26</x:v>
      </x:c>
      <x:c r="B28" s="30" t="str">
        <x:v>Employee Profile</x:v>
      </x:c>
      <x:c r="C28" s="30" t="str">
        <x:v>Able to show employee attachments</x:v>
      </x:c>
      <x:c r="D28" s="33" t="str">
        <x:v>MANDATORY</x:v>
      </x:c>
      <x:c r="E28" s="33" t="str">
        <x:v>Implemented</x:v>
      </x:c>
      <x:c r="F28" s="33" t="str">
        <x:v>fail</x:v>
      </x:c>
      <x:c r="G28" s="30" t="str">
        <x:v>HB Remarks: Pass
Hbstatus as of july14: Pass
HB REMARKS 22nd july 2026: Pass
HB Status july27: fail
HB Remark july27: next of kin Name is not displayes</x:v>
      </x:c>
      <x:c r="H28" s="33" t="str">
        <x:v>In Scope</x:v>
      </x:c>
      <x:c r="I28" s="33" t="str">
        <x:v>Code fix implemented</x:v>
      </x:c>
      <x:c r="J28" s="30" t="str">
        <x:v>Next-of-kin name aliases are included in profile mapping; employee attachments remain available.</x:v>
      </x:c>
      <x:c r="K28" s="30" t="str">
        <x:v>Backend type-check passed; on-prem portal build passed; 75 automated backend tests passed.</x:v>
      </x:c>
      <x:c r="L28" s="33" t="str">
        <x:v>Pending live BC UAT</x:v>
      </x:c>
      <x:c r="M28" s="33" t="str"/>
      <x:c r="N28" s="36" t="str"/>
    </x:row>
    <x:row r="29" ht="43.20000076293945" hidden="0" customHeight="1">
      <x:c r="A29" s="33" t="n">
        <x:v>27</x:v>
      </x:c>
      <x:c r="B29" s="30" t="str">
        <x:v>Employee Profile</x:v>
      </x:c>
      <x:c r="C29" s="30" t="str">
        <x:v>Able to show Employee Contract details</x:v>
      </x:c>
      <x:c r="D29" s="33" t="str">
        <x:v>MANDATORY</x:v>
      </x:c>
      <x:c r="E29" s="33" t="str">
        <x:v>Implemented</x:v>
      </x:c>
      <x:c r="F29" s="33" t="str">
        <x:v>Pass</x:v>
      </x:c>
      <x:c r="G29" s="30" t="str">
        <x:v>HB Remarks: Fail
Hbstatus as of july14: Fail
HB REMARKS 22nd july 2026: fail
HB Status july27: Pass</x:v>
      </x:c>
      <x:c r="H29" s="33" t="str">
        <x:v>In Scope</x:v>
      </x:c>
      <x:c r="I29" s="33" t="str">
        <x:v>Bank marked Pass — retained</x:v>
      </x:c>
      <x:c r="J29" s="30" t="str">
        <x:v>Existing Employee Profile workflow retained; no module or navigation removal is included in this release.</x:v>
      </x:c>
      <x:c r="K29" s="30" t="str">
        <x:v>Source workbook is marked Pass; full portal/backend regression build passed.</x:v>
      </x:c>
      <x:c r="L29" s="33" t="str">
        <x:v>Bank source says Pass</x:v>
      </x:c>
      <x:c r="M29" s="33" t="str"/>
      <x:c r="N29" s="36" t="str"/>
    </x:row>
    <x:row r="30" ht="64.80000305175781" hidden="0" customHeight="1">
      <x:c r="A30" s="33" t="n">
        <x:v>28</x:v>
      </x:c>
      <x:c r="B30" s="30" t="str">
        <x:v>Employee Profile</x:v>
      </x:c>
      <x:c r="C30" s="30" t="str">
        <x:v>HR Service Request Letters for (Guarntee and other letters for external companys ,Experience letter, letters required for mortgage,Letters Required for emergency staff loan,</x:v>
      </x:c>
      <x:c r="D30" s="33" t="str">
        <x:v>Experience letter is Mandatory others optional</x:v>
      </x:c>
      <x:c r="E30" s="33" t="str">
        <x:v>Implemented</x:v>
      </x:c>
      <x:c r="F30" s="33" t="str">
        <x:v>Fail</x:v>
      </x:c>
      <x:c r="G30" s="30" t="str">
        <x:v>HB Remarks: Fail
Hbstatus as of july14: Fail
HB REMARKS 22nd july 2026: fail
HB Status july27: Fail
HB Remark july27: no options for employees to get their own experience from SSP</x:v>
      </x:c>
      <x:c r="H30" s="33" t="str">
        <x:v>In Scope</x:v>
      </x:c>
      <x:c r="I30" s="33" t="str">
        <x:v>Code fix implemented</x:v>
      </x:c>
      <x:c r="J30" s="30" t="str">
        <x:v>The existing Request Letters and standalone Emergency Staff Loan navigation are retained; experience, guarantee, external company, mortgage, emergency loan, and embassy forms remain wired to Business Central.</x:v>
      </x:c>
      <x:c r="K30" s="30" t="str">
        <x:v>Backend type-check passed; on-prem portal build passed; 75 automated backend tests passed.</x:v>
      </x:c>
      <x:c r="L30" s="33" t="str">
        <x:v>Pending live BC UAT</x:v>
      </x:c>
      <x:c r="M30" s="33" t="str"/>
      <x:c r="N30" s="36" t="str"/>
    </x:row>
    <x:row r="31" ht="43.20000076293945" hidden="0" customHeight="1">
      <x:c r="A31" s="33" t="n">
        <x:v>29</x:v>
      </x:c>
      <x:c r="B31" s="30" t="str">
        <x:v>Pending Obervation</x:v>
      </x:c>
      <x:c r="C31" s="30" t="str">
        <x:v>Number of leave Applied days are displayed</x:v>
      </x:c>
      <x:c r="D31" s="33" t="str">
        <x:v>MANDATORY</x:v>
      </x:c>
      <x:c r="E31" s="33" t="str">
        <x:v>Implemented</x:v>
      </x:c>
      <x:c r="F31" s="33" t="str">
        <x:v>pass</x:v>
      </x:c>
      <x:c r="G31" s="30" t="str">
        <x:v>HB Remarks: Fail
Hbstatus as of july14: pass
HB REMARKS 22nd july 2026: PASS
HB Status july27: pass</x:v>
      </x:c>
      <x:c r="H31" s="33" t="str">
        <x:v>In Scope</x:v>
      </x:c>
      <x:c r="I31" s="33" t="str">
        <x:v>Bank marked Pass — retained</x:v>
      </x:c>
      <x:c r="J31" s="30" t="str">
        <x:v>Existing Pending Obervation workflow retained; no module or navigation removal is included in this release.</x:v>
      </x:c>
      <x:c r="K31" s="30" t="str">
        <x:v>Source workbook is marked Pass; full portal/backend regression build passed.</x:v>
      </x:c>
      <x:c r="L31" s="33" t="str">
        <x:v>Bank source says Pass</x:v>
      </x:c>
      <x:c r="M31" s="33" t="str"/>
      <x:c r="N31" s="36" t="str"/>
    </x:row>
    <x:row r="32" ht="43.20000076293945" hidden="0" customHeight="1">
      <x:c r="A32" s="33" t="n">
        <x:v>30</x:v>
      </x:c>
      <x:c r="B32" s="30" t="str">
        <x:v>Pending Obervation</x:v>
      </x:c>
      <x:c r="C32" s="30" t="str">
        <x:v>Return Date from leave is set on the default desktops date</x:v>
      </x:c>
      <x:c r="D32" s="33" t="str">
        <x:v>MANDATORY</x:v>
      </x:c>
      <x:c r="E32" s="33" t="str">
        <x:v>Implemented</x:v>
      </x:c>
      <x:c r="F32" s="33" t="str">
        <x:v>pass</x:v>
      </x:c>
      <x:c r="G32" s="30" t="str">
        <x:v>HB Remarks: Fail
Hbstatus as of july14: pass
HB REMARKS 22nd july 2026: PASS
HB Status july27: pass</x:v>
      </x:c>
      <x:c r="H32" s="33" t="str">
        <x:v>In Scope</x:v>
      </x:c>
      <x:c r="I32" s="33" t="str">
        <x:v>Bank marked Pass — retained</x:v>
      </x:c>
      <x:c r="J32" s="30" t="str">
        <x:v>Existing Pending Obervation workflow retained; no module or navigation removal is included in this release.</x:v>
      </x:c>
      <x:c r="K32" s="30" t="str">
        <x:v>Source workbook is marked Pass; full portal/backend regression build passed.</x:v>
      </x:c>
      <x:c r="L32" s="33" t="str">
        <x:v>Bank source says Pass</x:v>
      </x:c>
      <x:c r="M32" s="33" t="str"/>
      <x:c r="N32" s="36" t="str"/>
    </x:row>
    <x:row r="33" ht="54" hidden="0" customHeight="1">
      <x:c r="A33" s="33" t="n">
        <x:v>31</x:v>
      </x:c>
      <x:c r="B33" s="30" t="str">
        <x:v>Pending Obervation</x:v>
      </x:c>
      <x:c r="C33" s="30" t="str">
        <x:v>leave balance is not being diplayed</x:v>
      </x:c>
      <x:c r="D33" s="33" t="str">
        <x:v>MANDATORY</x:v>
      </x:c>
      <x:c r="E33" s="33" t="str">
        <x:v>Implemented</x:v>
      </x:c>
      <x:c r="F33" s="33" t="str">
        <x:v>pass</x:v>
      </x:c>
      <x:c r="G33" s="30" t="str">
        <x:v>HB Remarks: Fail
Hbstatus as of july14: Fail
HB REMARKS 22nd july 2026: fail
HB Status july27: pass
HB Remark july27: mismuch leave balance between in the form and statement</x:v>
      </x:c>
      <x:c r="H33" s="33" t="str">
        <x:v>In Scope</x:v>
      </x:c>
      <x:c r="I33" s="33" t="str">
        <x:v>Bank marked Pass — retained</x:v>
      </x:c>
      <x:c r="J33" s="30" t="str">
        <x:v>Existing Pending Obervation workflow retained; no module or navigation removal is included in this release.</x:v>
      </x:c>
      <x:c r="K33" s="30" t="str">
        <x:v>Source workbook is marked Pass; full portal/backend regression build passed.</x:v>
      </x:c>
      <x:c r="L33" s="33" t="str">
        <x:v>Bank source says Pass</x:v>
      </x:c>
      <x:c r="M33" s="33" t="str"/>
      <x:c r="N33" s="36" t="str"/>
    </x:row>
    <x:row r="34" ht="64.80000305175781" hidden="0" customHeight="1">
      <x:c r="A34" s="33" t="n">
        <x:v>32</x:v>
      </x:c>
      <x:c r="B34" s="30" t="str">
        <x:v>Pending Obervation</x:v>
      </x:c>
      <x:c r="C34" s="30" t="str">
        <x:v>staff on leave is not displayed</x:v>
      </x:c>
      <x:c r="D34" s="33" t="str">
        <x:v>MANDATORY</x:v>
      </x:c>
      <x:c r="E34" s="33" t="str">
        <x:v>Implemented</x:v>
      </x:c>
      <x:c r="F34" s="33" t="str">
        <x:v>Fail</x:v>
      </x:c>
      <x:c r="G34" s="30" t="str">
        <x:v>HB Remarks: Pass
Hbstatus as of july14: Pass
HB REMARKS 22nd july 2026: Pass
HB Status july27: Fail
HB Remark july27: HOD are expected to see the active leave employees found under their supervision only</x:v>
      </x:c>
      <x:c r="H34" s="33" t="str">
        <x:v>In Scope</x:v>
      </x:c>
      <x:c r="I34" s="33" t="str">
        <x:v>Code fix implemented</x:v>
      </x:c>
      <x:c r="J34" s="30" t="str">
        <x:v>Staff-on-leave is scoped to active leave for employees under the HOD/supervisor.</x:v>
      </x:c>
      <x:c r="K34" s="30" t="str">
        <x:v>Backend type-check passed; on-prem portal build passed; 75 automated backend tests passed.</x:v>
      </x:c>
      <x:c r="L34" s="33" t="str">
        <x:v>Pending live BC UAT</x:v>
      </x:c>
      <x:c r="M34" s="33" t="str"/>
      <x:c r="N34" s="36" t="str"/>
    </x:row>
    <x:row r="35" ht="43.20000076293945" hidden="0" customHeight="1">
      <x:c r="A35" s="33" t="n">
        <x:v>33</x:v>
      </x:c>
      <x:c r="B35" s="30" t="str">
        <x:v>Pending Obervation</x:v>
      </x:c>
      <x:c r="C35" s="30" t="str">
        <x:v>Medical claim types(Govt,Non Govt,Outline)</x:v>
      </x:c>
      <x:c r="D35" s="33" t="str">
        <x:v>MANDATORY</x:v>
      </x:c>
      <x:c r="E35" s="33" t="str">
        <x:v>Implemented</x:v>
      </x:c>
      <x:c r="F35" s="33" t="str">
        <x:v>fail</x:v>
      </x:c>
      <x:c r="G35" s="30" t="str">
        <x:v>HB Remarks: Pass
Hbstatus as of july14: Pass
HB REMARKS 22nd july 2026: Pass
HB Status july27: fail</x:v>
      </x:c>
      <x:c r="H35" s="33" t="str">
        <x:v>In Scope</x:v>
      </x:c>
      <x:c r="I35" s="33" t="str">
        <x:v>Code fix implemented</x:v>
      </x:c>
      <x:c r="J35" s="30" t="str">
        <x:v>Medical Claim is restored under HR with Government, Non-Government, and Outline/Online hospital categories.</x:v>
      </x:c>
      <x:c r="K35" s="30" t="str">
        <x:v>Backend type-check passed; on-prem portal build passed; 75 automated backend tests passed.</x:v>
      </x:c>
      <x:c r="L35" s="33" t="str">
        <x:v>Pending live BC UAT</x:v>
      </x:c>
      <x:c r="M35" s="33" t="str"/>
      <x:c r="N35" s="36" t="str"/>
    </x:row>
    <x:row r="36" ht="43.20000076293945" hidden="0" customHeight="1">
      <x:c r="A36" s="33" t="n">
        <x:v>34</x:v>
      </x:c>
      <x:c r="B36" s="30" t="str">
        <x:v>Pending Obervation</x:v>
      </x:c>
      <x:c r="C36" s="30" t="str">
        <x:v>Able to request Advance salary</x:v>
      </x:c>
      <x:c r="D36" s="33" t="str">
        <x:v>Optional</x:v>
      </x:c>
      <x:c r="E36" s="33" t="str">
        <x:v>Implemented</x:v>
      </x:c>
      <x:c r="F36" s="33" t="str">
        <x:v>pass</x:v>
      </x:c>
      <x:c r="G36" s="30" t="str">
        <x:v>HB Remarks: Pass
Hbstatus as of july14: Pass
HB REMARKS 22nd july 2026: Pass
HB Status july27: pass</x:v>
      </x:c>
      <x:c r="H36" s="33" t="str">
        <x:v>In Scope</x:v>
      </x:c>
      <x:c r="I36" s="33" t="str">
        <x:v>Bank marked Pass — retained</x:v>
      </x:c>
      <x:c r="J36" s="30" t="str">
        <x:v>Existing Pending Obervation workflow retained; no module or navigation removal is included in this release.</x:v>
      </x:c>
      <x:c r="K36" s="30" t="str">
        <x:v>Source workbook is marked Pass; full portal/backend regression build passed.</x:v>
      </x:c>
      <x:c r="L36" s="33" t="str">
        <x:v>Bank source says Pass</x:v>
      </x:c>
      <x:c r="M36" s="33" t="str"/>
      <x:c r="N36" s="36" t="str"/>
    </x:row>
    <x:row r="37" ht="43.20000076293945" hidden="0" customHeight="1">
      <x:c r="A37" s="33" t="n">
        <x:v>35</x:v>
      </x:c>
      <x:c r="B37" s="30" t="str">
        <x:v>Pending Obervation</x:v>
      </x:c>
      <x:c r="C37" s="30" t="str">
        <x:v>Able to view Pay slip</x:v>
      </x:c>
      <x:c r="D37" s="33" t="str">
        <x:v>MANDATORY</x:v>
      </x:c>
      <x:c r="E37" s="33" t="str">
        <x:v>Implemented</x:v>
      </x:c>
      <x:c r="F37" s="33" t="str">
        <x:v>pass</x:v>
      </x:c>
      <x:c r="G37" s="30" t="str">
        <x:v>HB Remarks: Pass
Hbstatus as of july14: Pass
HB REMARKS 22nd july 2026: Pass
HB Status july27: pass</x:v>
      </x:c>
      <x:c r="H37" s="33" t="str">
        <x:v>In Scope</x:v>
      </x:c>
      <x:c r="I37" s="33" t="str">
        <x:v>Bank marked Pass — retained</x:v>
      </x:c>
      <x:c r="J37" s="30" t="str">
        <x:v>Existing Pending Obervation workflow retained; no module or navigation removal is included in this release.</x:v>
      </x:c>
      <x:c r="K37" s="30" t="str">
        <x:v>Source workbook is marked Pass; full portal/backend regression build passed.</x:v>
      </x:c>
      <x:c r="L37" s="33" t="str">
        <x:v>Bank source says Pass</x:v>
      </x:c>
      <x:c r="M37" s="33" t="str"/>
      <x:c r="N37" s="36" t="str"/>
    </x:row>
    <x:row r="38" ht="43.20000076293945" hidden="0" customHeight="1">
      <x:c r="A38" s="33" t="n">
        <x:v>36</x:v>
      </x:c>
      <x:c r="B38" s="30" t="str">
        <x:v>Pending Obervation</x:v>
      </x:c>
      <x:c r="C38" s="30" t="str">
        <x:v>Special Leave should be included as leave type (from ERP and portal side)</x:v>
      </x:c>
      <x:c r="D38" s="33" t="str">
        <x:v>MANDATORY</x:v>
      </x:c>
      <x:c r="E38" s="33" t="str">
        <x:v>Implemented</x:v>
      </x:c>
      <x:c r="F38" s="33" t="str">
        <x:v>pass</x:v>
      </x:c>
      <x:c r="G38" s="30" t="str">
        <x:v>HB Remarks: Pass
Hbstatus as of july14: Pass
HB REMARKS 22nd july 2026: Pass
HB Status july27: pass</x:v>
      </x:c>
      <x:c r="H38" s="33" t="str">
        <x:v>In Scope</x:v>
      </x:c>
      <x:c r="I38" s="33" t="str">
        <x:v>Bank marked Pass — retained</x:v>
      </x:c>
      <x:c r="J38" s="30" t="str">
        <x:v>Existing Pending Obervation workflow retained; no module or navigation removal is included in this release.</x:v>
      </x:c>
      <x:c r="K38" s="30" t="str">
        <x:v>Source workbook is marked Pass; full portal/backend regression build passed.</x:v>
      </x:c>
      <x:c r="L38" s="33" t="str">
        <x:v>Bank source says Pass</x:v>
      </x:c>
      <x:c r="M38" s="33" t="str"/>
      <x:c r="N38" s="36" t="str"/>
    </x:row>
    <x:row r="39" ht="64.80000305175781" hidden="0" customHeight="1">
      <x:c r="A39" s="33" t="n">
        <x:v>37</x:v>
      </x:c>
      <x:c r="B39" s="30" t="str">
        <x:v>Training Management</x:v>
      </x:c>
      <x:c r="C39" s="30" t="str">
        <x:v>Able to create training needs through training needs card</x:v>
      </x:c>
      <x:c r="D39" s="33" t="str">
        <x:v>Optional</x:v>
      </x:c>
      <x:c r="E39" s="33" t="str">
        <x:v>Implemented</x:v>
      </x:c>
      <x:c r="F39" s="33" t="str">
        <x:v>fail</x:v>
      </x:c>
      <x:c r="G39" s="30" t="str">
        <x:v>HB Remarks: Fail
Hbstatus as of july14: Fail
HB REMARKS 22nd july 2026: Pass
HB Status july27: fail
HB Remark july27: needs integration with ERP and the department field is inactive(shall be dropdown menu)</x:v>
      </x:c>
      <x:c r="H39" s="33" t="str">
        <x:v>In Scope</x:v>
      </x:c>
      <x:c r="I39" s="33" t="str">
        <x:v>Code fix implemented</x:v>
      </x:c>
      <x:c r="J39" s="30" t="str">
        <x:v>Training now uses Business Central course and department lookups and saves the full training assessment.</x:v>
      </x:c>
      <x:c r="K39" s="30" t="str">
        <x:v>Backend type-check passed; on-prem portal build passed; 75 automated backend tests passed.</x:v>
      </x:c>
      <x:c r="L39" s="33" t="str">
        <x:v>Pending live BC UAT</x:v>
      </x:c>
      <x:c r="M39" s="33" t="str"/>
      <x:c r="N39" s="36" t="str"/>
    </x:row>
    <x:row r="40" ht="43.20000076293945" hidden="0" customHeight="1">
      <x:c r="A40" s="33" t="n">
        <x:v>38</x:v>
      </x:c>
      <x:c r="B40" s="30" t="str">
        <x:v>Training Management</x:v>
      </x:c>
      <x:c r="C40" s="30" t="str">
        <x:v>Training needs card able to capture training period, provider and training cost</x:v>
      </x:c>
      <x:c r="D40" s="33" t="str">
        <x:v>Optional</x:v>
      </x:c>
      <x:c r="E40" s="33" t="str">
        <x:v>Implemented</x:v>
      </x:c>
      <x:c r="F40" s="33" t="str">
        <x:v>pass</x:v>
      </x:c>
      <x:c r="G40" s="30" t="str">
        <x:v>HB Remarks: Fail
Hbstatus as of july14: Fail
HB REMARKS 22nd july 2026: Pass
HB Status july27: pass</x:v>
      </x:c>
      <x:c r="H40" s="33" t="str">
        <x:v>In Scope</x:v>
      </x:c>
      <x:c r="I40" s="33" t="str">
        <x:v>Bank marked Pass — retained</x:v>
      </x:c>
      <x:c r="J40" s="30" t="str">
        <x:v>Existing Training Management workflow retained; no module or navigation removal is included in this release.</x:v>
      </x:c>
      <x:c r="K40" s="30" t="str">
        <x:v>Source workbook is marked Pass; full portal/backend regression build passed.</x:v>
      </x:c>
      <x:c r="L40" s="33" t="str">
        <x:v>Bank source says Pass</x:v>
      </x:c>
      <x:c r="M40" s="33" t="str"/>
      <x:c r="N40" s="36" t="str"/>
    </x:row>
    <x:row r="41" ht="54" hidden="0" customHeight="1">
      <x:c r="A41" s="33" t="n">
        <x:v>39</x:v>
      </x:c>
      <x:c r="B41" s="30" t="str">
        <x:v>Training Management</x:v>
      </x:c>
      <x:c r="C41" s="30" t="str">
        <x:v>Able to create training groups</x:v>
      </x:c>
      <x:c r="D41" s="33" t="str">
        <x:v>Optional</x:v>
      </x:c>
      <x:c r="E41" s="33" t="str">
        <x:v>Implemented</x:v>
      </x:c>
      <x:c r="F41" s="33" t="str">
        <x:v>Fail</x:v>
      </x:c>
      <x:c r="G41" s="30" t="str">
        <x:v>HB Remarks: Fail
Hbstatus as of july14: Fail
HB REMARKS 22nd july 2026: Pass
HB Status july27: Fail
HB Remark july27: able to include more than a single training per request</x:v>
      </x:c>
      <x:c r="H41" s="33" t="str">
        <x:v>In Scope</x:v>
      </x:c>
      <x:c r="I41" s="33" t="str">
        <x:v>Code fix implemented</x:v>
      </x:c>
      <x:c r="J41" s="30" t="str">
        <x:v>Training supports a primary course plus additional training needs in one request.</x:v>
      </x:c>
      <x:c r="K41" s="30" t="str">
        <x:v>Backend type-check passed; on-prem portal build passed; 75 automated backend tests passed.</x:v>
      </x:c>
      <x:c r="L41" s="33" t="str">
        <x:v>Pending live BC UAT</x:v>
      </x:c>
      <x:c r="M41" s="33" t="str"/>
      <x:c r="N41" s="36" t="str"/>
    </x:row>
    <x:row r="42" ht="43.20000076293945" hidden="0" customHeight="1">
      <x:c r="A42" s="33" t="n">
        <x:v>40</x:v>
      </x:c>
      <x:c r="B42" s="30" t="str">
        <x:v>Training Management</x:v>
      </x:c>
      <x:c r="C42" s="30" t="str">
        <x:v>Able to show training application list</x:v>
      </x:c>
      <x:c r="D42" s="33" t="str">
        <x:v>Optional</x:v>
      </x:c>
      <x:c r="E42" s="33" t="str">
        <x:v>Implemented</x:v>
      </x:c>
      <x:c r="F42" s="33" t="str">
        <x:v>fail</x:v>
      </x:c>
      <x:c r="G42" s="30" t="str">
        <x:v>HB Remarks: Fail
Hbstatus as of july14: Fail
HB REMARKS 22nd july 2026: Pass
HB Status july27: fail</x:v>
      </x:c>
      <x:c r="H42" s="33" t="str">
        <x:v>In Scope</x:v>
      </x:c>
      <x:c r="I42" s="33" t="str">
        <x:v>Code fix implemented</x:v>
      </x:c>
      <x:c r="J42" s="30" t="str">
        <x:v>Training application list/detail includes course, provider, department, period, budget, and Business Central status.</x:v>
      </x:c>
      <x:c r="K42" s="30" t="str">
        <x:v>Backend type-check passed; on-prem portal build passed; 75 automated backend tests passed.</x:v>
      </x:c>
      <x:c r="L42" s="33" t="str">
        <x:v>Pending live BC UAT</x:v>
      </x:c>
      <x:c r="M42" s="33" t="str"/>
      <x:c r="N42" s="36" t="str"/>
    </x:row>
    <x:row r="43" ht="64.80000305175781" hidden="0" customHeight="1">
      <x:c r="A43" s="33" t="n">
        <x:v>41</x:v>
      </x:c>
      <x:c r="B43" s="30" t="str">
        <x:v>Employee Exit</x:v>
      </x:c>
      <x:c r="C43" s="30" t="str">
        <x:v>Transfer Request and Cancilation</x:v>
      </x:c>
      <x:c r="D43" s="33" t="str">
        <x:v>Optional</x:v>
      </x:c>
      <x:c r="E43" s="33" t="str">
        <x:v>Implemented</x:v>
      </x:c>
      <x:c r="F43" s="33" t="str">
        <x:v>Pass</x:v>
      </x:c>
      <x:c r="G43" s="30" t="str">
        <x:v>HB Remarks: Fail
Hbstatus as of july14: pass
HB REMARKS 22nd july 2026: FAIL
HB Status july27: Pass
HB Remark july27: departments/branches has to be selected from only existed department and branch) and better to include in the menu of HR requests</x:v>
      </x:c>
      <x:c r="H43" s="33" t="str">
        <x:v>In Scope</x:v>
      </x:c>
      <x:c r="I43" s="33" t="str">
        <x:v>Bank marked Pass — retained</x:v>
      </x:c>
      <x:c r="J43" s="30" t="str">
        <x:v>Existing Employee Exit workflow retained; no module or navigation removal is included in this release.</x:v>
      </x:c>
      <x:c r="K43" s="30" t="str">
        <x:v>Source workbook is marked Pass; full portal/backend regression build passed.</x:v>
      </x:c>
      <x:c r="L43" s="33" t="str">
        <x:v>Bank source says Pass</x:v>
      </x:c>
      <x:c r="M43" s="33" t="str"/>
      <x:c r="N43" s="36" t="str"/>
    </x:row>
    <x:row r="44" ht="54" hidden="0" customHeight="1">
      <x:c r="A44" s="33" t="n">
        <x:v>42</x:v>
      </x:c>
      <x:c r="B44" s="30" t="str">
        <x:v>Employee Exit</x:v>
      </x:c>
      <x:c r="C44" s="30" t="str">
        <x:v>Resignation Application and Cancilation</x:v>
      </x:c>
      <x:c r="D44" s="33" t="str">
        <x:v>MANDATORY</x:v>
      </x:c>
      <x:c r="E44" s="33" t="str">
        <x:v>Implemented</x:v>
      </x:c>
      <x:c r="F44" s="33" t="str">
        <x:v>Pass</x:v>
      </x:c>
      <x:c r="G44" s="30" t="str">
        <x:v>HB Remarks: Fail
Hbstatus as of july14: Fail
HB REMARKS 22nd july 2026: Fail
HB Status july27: Pass
HB Remark july27: Merge resignation request with exit interview</x:v>
      </x:c>
      <x:c r="H44" s="33" t="str">
        <x:v>In Scope</x:v>
      </x:c>
      <x:c r="I44" s="33" t="str">
        <x:v>Bank marked Pass — retained</x:v>
      </x:c>
      <x:c r="J44" s="30" t="str">
        <x:v>Existing Employee Exit workflow retained; no module or navigation removal is included in this release.</x:v>
      </x:c>
      <x:c r="K44" s="30" t="str">
        <x:v>Source workbook is marked Pass; full portal/backend regression build passed.</x:v>
      </x:c>
      <x:c r="L44" s="33" t="str">
        <x:v>Bank source says Pass</x:v>
      </x:c>
      <x:c r="M44" s="33" t="str"/>
      <x:c r="N44" s="36" t="str"/>
    </x:row>
    <x:row r="45" ht="54" hidden="0" customHeight="1">
      <x:c r="A45" s="34" t="n">
        <x:v>43</x:v>
      </x:c>
      <x:c r="B45" s="31" t="str">
        <x:v>Employee Exit</x:v>
      </x:c>
      <x:c r="C45" s="31" t="str">
        <x:v>Exit Interview Form</x:v>
      </x:c>
      <x:c r="D45" s="34" t="str">
        <x:v>MANDATORY</x:v>
      </x:c>
      <x:c r="E45" s="34" t="str">
        <x:v>Implemented</x:v>
      </x:c>
      <x:c r="F45" s="34" t="str">
        <x:v>Pass</x:v>
      </x:c>
      <x:c r="G45" s="31" t="str">
        <x:v>HB Remarks: Fail
Hbstatus as of july14: Fail
HB REMARKS 22nd july 2026: Fail
HB Status july27: Pass
HB Remark july27: Merge resignation request with exit interview</x:v>
      </x:c>
      <x:c r="H45" s="34" t="str">
        <x:v>In Scope</x:v>
      </x:c>
      <x:c r="I45" s="34" t="str">
        <x:v>Bank marked Pass — retained</x:v>
      </x:c>
      <x:c r="J45" s="31" t="str">
        <x:v>Existing Employee Exit workflow retained; no module or navigation removal is included in this release.</x:v>
      </x:c>
      <x:c r="K45" s="31" t="str">
        <x:v>Source workbook is marked Pass; full portal/backend regression build passed.</x:v>
      </x:c>
      <x:c r="L45" s="34" t="str">
        <x:v>Bank source says Pass</x:v>
      </x:c>
      <x:c r="M45" s="34" t="str"/>
      <x:c r="N45" s="37" t="str"/>
    </x:row>
  </x:sheetData>
  <x:mergeCells>
    <x:mergeCell ref="A1:N1"/>
    <x:mergeCell ref="A2:N2"/>
    <x:mergeCell ref="A3:N3"/>
  </x:mergeCells>
  <x:conditionalFormatting sqref="I5:I45">
    <x:cfRule type="containsText" dxfId="0" priority="1" operator="containsText" text="fix implemented"/>
    <x:cfRule type="containsText" dxfId="1" priority="2" operator="containsText" text="Out of Scope"/>
  </x:conditionalFormatting>
  <x:conditionalFormatting sqref="L5:L45">
    <x:cfRule type="containsText" dxfId="2" priority="3" operator="containsText" text="Pending"/>
    <x:cfRule type="containsText" dxfId="3" priority="4" operator="containsText" text="Pass"/>
    <x:cfRule type="containsText" dxfId="4" priority="5" operator="containsText" text="Fail"/>
  </x:conditionalFormatting>
  <x:dataValidations count="1">
    <x:dataValidation type="list" sqref="L5:L45">
      <x:formula1>"Pending live BC UAT,Pass,Fail,Blocked,Not Required,Bank source says Pass"</x:formula1>
    </x:dataValidation>
  </x:dataValidations>
  <x:pageMargins left="0.7" right="0.7" top="0.75" bottom="0.75" header="0.3" footer="0.3"/>
  <x:tableParts count="1">
    <x:tablePart xmlns:r="http://schemas.openxmlformats.org/officeDocument/2006/relationships" r:id="R0f471abe6b614e9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2" hidden="0" customWidth="1"/>
    <x:col min="3" max="3" width="42" hidden="0" customWidth="1"/>
    <x:col min="4" max="4" width="18" hidden="0" customWidth="1"/>
    <x:col min="5" max="5" width="19" hidden="0" customWidth="1"/>
    <x:col min="6" max="6" width="16" hidden="0" customWidth="1"/>
    <x:col min="7" max="7" width="48" hidden="0" customWidth="1"/>
    <x:col min="8" max="8" width="14" hidden="0" customWidth="1"/>
    <x:col min="9" max="9" width="24" hidden="0" customWidth="1"/>
    <x:col min="10" max="10" width="52" hidden="0" customWidth="1"/>
    <x:col min="11" max="11" width="42" hidden="0" customWidth="1"/>
    <x:col min="12" max="12" width="21" hidden="0" customWidth="1"/>
    <x:col min="13" max="13" width="18" hidden="0" customWidth="1"/>
    <x:col min="14" max="14" width="14" hidden="0" customWidth="1"/>
  </x:cols>
  <x:sheetData>
    <x:row r="1" ht="30" customHeight="1">
      <x:c r="A1" s="3" t="str">
        <x:v>HIJRA SSP FINANCE — Row-by-row UAT evidence</x:v>
      </x:c>
      <x:c r="B1" s="3"/>
      <x:c r="C1" s="3"/>
      <x:c r="D1" s="3"/>
      <x:c r="E1" s="3"/>
      <x:c r="F1" s="3"/>
      <x:c r="G1" s="3"/>
      <x:c r="H1" s="3"/>
      <x:c r="I1" s="3"/>
      <x:c r="J1" s="3"/>
      <x:c r="K1" s="3"/>
      <x:c r="L1" s="3"/>
      <x:c r="M1" s="3"/>
      <x:c r="N1" s="3"/>
    </x:row>
    <x:row r="2" ht="23" customHeight="1">
      <x:c r="A2" s="6" t="str">
        <x:v>Source: /Users/abhishekbehera/Downloads/SSP Finance HB Update July 27 2026 (1) (1).xlsx</x:v>
      </x:c>
      <x:c r="B2" s="6"/>
      <x:c r="C2" s="6"/>
      <x:c r="D2" s="6"/>
      <x:c r="E2" s="6"/>
      <x:c r="F2" s="6"/>
      <x:c r="G2" s="6"/>
      <x:c r="H2" s="6"/>
      <x:c r="I2" s="6"/>
      <x:c r="J2" s="6"/>
      <x:c r="K2" s="6"/>
      <x:c r="L2" s="6"/>
      <x:c r="M2" s="6"/>
      <x:c r="N2" s="6"/>
    </x:row>
    <x:row r="3" ht="34" customHeight="1">
      <x:c r="A3" s="10" t="str">
        <x:v>Important: “Code fix implemented” means the local source/build checks passed. Enter Pass only after publishing the AL app and portal, then retesting against live Business Central.</x:v>
      </x:c>
      <x:c r="B3" s="10"/>
      <x:c r="C3" s="10"/>
      <x:c r="D3" s="10"/>
      <x:c r="E3" s="10"/>
      <x:c r="F3" s="10"/>
      <x:c r="G3" s="10"/>
      <x:c r="H3" s="10"/>
      <x:c r="I3" s="10"/>
      <x:c r="J3" s="10"/>
      <x:c r="K3" s="10"/>
      <x:c r="L3" s="10"/>
      <x:c r="M3" s="10"/>
      <x:c r="N3" s="10"/>
    </x:row>
    <x:row r="4" ht="34" customHeight="1">
      <x:c r="A4" s="19" t="str">
        <x:v>Excel Row</x:v>
      </x:c>
      <x:c r="B4" s="20" t="str">
        <x:v>Sub-module</x:v>
      </x:c>
      <x:c r="C4" s="20" t="str">
        <x:v>Test Case / Details</x:v>
      </x:c>
      <x:c r="D4" s="20" t="str">
        <x:v>Requirement / Priority</x:v>
      </x:c>
      <x:c r="E4" s="20" t="str">
        <x:v>Latest TA Remark</x:v>
      </x:c>
      <x:c r="F4" s="20" t="str">
        <x:v>Latest HB Status</x:v>
      </x:c>
      <x:c r="G4" s="20" t="str">
        <x:v>All HB Remarks / Comments</x:v>
      </x:c>
      <x:c r="H4" s="20" t="str">
        <x:v>Scope</x:v>
      </x:c>
      <x:c r="I4" s="20" t="str">
        <x:v>Release Assessment</x:v>
      </x:c>
      <x:c r="J4" s="20" t="str">
        <x:v>Implementation / Evidence</x:v>
      </x:c>
      <x:c r="K4" s="20" t="str">
        <x:v>Verification Performed</x:v>
      </x:c>
      <x:c r="L4" s="20" t="str">
        <x:v>Live UAT Retest</x:v>
      </x:c>
      <x:c r="M4" s="20" t="str">
        <x:v>UAT Tester</x:v>
      </x:c>
      <x:c r="N4" s="21" t="str">
        <x:v>UAT Date</x:v>
      </x:c>
    </x:row>
    <x:row r="5" ht="21.600000381469727" hidden="0" customHeight="1">
      <x:c r="A5" s="32" t="n">
        <x:v>3</x:v>
      </x:c>
      <x:c r="B5" s="29" t="str">
        <x:v>Imprest Management</x:v>
      </x:c>
      <x:c r="C5" s="29" t="str">
        <x:v>Able to perform Imprest Requisition under workflows</x:v>
      </x:c>
      <x:c r="D5" s="32" t="str">
        <x:v>mandatory</x:v>
      </x:c>
      <x:c r="E5" s="32" t="str">
        <x:v>Implemented</x:v>
      </x:c>
      <x:c r="F5" s="32" t="str">
        <x:v>pass</x:v>
      </x:c>
      <x:c r="G5" s="29" t="str">
        <x:v>HB Bank Remarks on 07/18/2026: pass
HB Bank Remarks on 07/27/2026: pass</x:v>
      </x:c>
      <x:c r="H5" s="32" t="str">
        <x:v>In Scope</x:v>
      </x:c>
      <x:c r="I5" s="32" t="str">
        <x:v>Bank marked Pass — retained</x:v>
      </x:c>
      <x:c r="J5" s="29" t="str">
        <x:v>Existing Imprest Management workflow retained; no module or navigation removal is included in this release.</x:v>
      </x:c>
      <x:c r="K5" s="29" t="str">
        <x:v>Source workbook is marked Pass; full portal/backend regression build passed.</x:v>
      </x:c>
      <x:c r="L5" s="32" t="str">
        <x:v>Bank source says Pass</x:v>
      </x:c>
      <x:c r="M5" s="32" t="str"/>
      <x:c r="N5" s="35" t="str"/>
    </x:row>
    <x:row r="6" ht="21.600000381469727" hidden="0" customHeight="1">
      <x:c r="A6" s="33" t="n">
        <x:v>4</x:v>
      </x:c>
      <x:c r="B6" s="30" t="str">
        <x:v>Imprest Management</x:v>
      </x:c>
      <x:c r="C6" s="30" t="str">
        <x:v>system shuolde not allow back or future imprest requistion/requred date (that must be the same with working date)</x:v>
      </x:c>
      <x:c r="D6" s="33" t="str">
        <x:v>mandatory</x:v>
      </x:c>
      <x:c r="E6" s="33" t="str">
        <x:v>Implemented</x:v>
      </x:c>
      <x:c r="F6" s="33" t="str">
        <x:v>pass</x:v>
      </x:c>
      <x:c r="G6" s="30" t="str">
        <x:v>HB Bank Remarks on 07/18/2026: pass
HB Bank Remarks on 07/27/2026: pass</x:v>
      </x:c>
      <x:c r="H6" s="33" t="str">
        <x:v>In Scope</x:v>
      </x:c>
      <x:c r="I6" s="33" t="str">
        <x:v>Bank marked Pass — retained</x:v>
      </x:c>
      <x:c r="J6" s="30" t="str">
        <x:v>Existing Imprest Management workflow retained; no module or navigation removal is included in this release.</x:v>
      </x:c>
      <x:c r="K6" s="30" t="str">
        <x:v>Source workbook is marked Pass; full portal/backend regression build passed.</x:v>
      </x:c>
      <x:c r="L6" s="33" t="str">
        <x:v>Bank source says Pass</x:v>
      </x:c>
      <x:c r="M6" s="33" t="str"/>
      <x:c r="N6" s="36" t="str"/>
    </x:row>
    <x:row r="7" ht="21.600000381469727" hidden="0" customHeight="1">
      <x:c r="A7" s="33" t="n">
        <x:v>5</x:v>
      </x:c>
      <x:c r="B7" s="30" t="str">
        <x:v>Imprest Management</x:v>
      </x:c>
      <x:c r="C7" s="30" t="str">
        <x:v>system shuolde not allow back date imprest requistion for start date</x:v>
      </x:c>
      <x:c r="D7" s="33" t="str">
        <x:v>mandatory</x:v>
      </x:c>
      <x:c r="E7" s="33" t="str">
        <x:v>Implemented</x:v>
      </x:c>
      <x:c r="F7" s="33" t="str">
        <x:v>pass</x:v>
      </x:c>
      <x:c r="G7" s="30" t="str">
        <x:v>HB Bank Remarks on 07/18/2026: pass
HB Bank Remarks on 07/27/2026: pass</x:v>
      </x:c>
      <x:c r="H7" s="33" t="str">
        <x:v>In Scope</x:v>
      </x:c>
      <x:c r="I7" s="33" t="str">
        <x:v>Bank marked Pass — retained</x:v>
      </x:c>
      <x:c r="J7" s="30" t="str">
        <x:v>Existing Imprest Management workflow retained; no module or navigation removal is included in this release.</x:v>
      </x:c>
      <x:c r="K7" s="30" t="str">
        <x:v>Source workbook is marked Pass; full portal/backend regression build passed.</x:v>
      </x:c>
      <x:c r="L7" s="33" t="str">
        <x:v>Bank source says Pass</x:v>
      </x:c>
      <x:c r="M7" s="33" t="str"/>
      <x:c r="N7" s="36" t="str"/>
    </x:row>
    <x:row r="8" ht="21.600000381469727" hidden="0" customHeight="1">
      <x:c r="A8" s="33" t="n">
        <x:v>6</x:v>
      </x:c>
      <x:c r="B8" s="30" t="str">
        <x:v>Imprest Management</x:v>
      </x:c>
      <x:c r="C8" s="30" t="str">
        <x:v>return date shoulde be the same or future date than from starting date</x:v>
      </x:c>
      <x:c r="D8" s="33" t="str">
        <x:v>mandatory</x:v>
      </x:c>
      <x:c r="E8" s="33" t="str">
        <x:v>Implemented</x:v>
      </x:c>
      <x:c r="F8" s="33" t="str">
        <x:v>pass</x:v>
      </x:c>
      <x:c r="G8" s="30" t="str">
        <x:v>HB Bank Remarks on 07/18/2026: pass
HB Bank Remarks on 07/27/2026: pass</x:v>
      </x:c>
      <x:c r="H8" s="33" t="str">
        <x:v>In Scope</x:v>
      </x:c>
      <x:c r="I8" s="33" t="str">
        <x:v>Bank marked Pass — retained</x:v>
      </x:c>
      <x:c r="J8" s="30" t="str">
        <x:v>Existing Imprest Management workflow retained; no module or navigation removal is included in this release.</x:v>
      </x:c>
      <x:c r="K8" s="30" t="str">
        <x:v>Source workbook is marked Pass; full portal/backend regression build passed.</x:v>
      </x:c>
      <x:c r="L8" s="33" t="str">
        <x:v>Bank source says Pass</x:v>
      </x:c>
      <x:c r="M8" s="33" t="str"/>
      <x:c r="N8" s="36" t="str"/>
    </x:row>
    <x:row r="9" ht="86.4000015258789" hidden="0" customHeight="1">
      <x:c r="A9" s="33" t="n">
        <x:v>7</x:v>
      </x:c>
      <x:c r="B9" s="30" t="str">
        <x:v>Imprest Management</x:v>
      </x:c>
      <x:c r="C9" s="30" t="str">
        <x:v>on imprest requistion duration date, department, responsibility center (job title),palce of duty,total net amount and the empoyee account number shoulde be availabel</x:v>
      </x:c>
      <x:c r="D9" s="33" t="str">
        <x:v>mandatory</x:v>
      </x:c>
      <x:c r="E9" s="33" t="str">
        <x:v>Implemented</x:v>
      </x:c>
      <x:c r="F9" s="33" t="str">
        <x:v>fail</x:v>
      </x:c>
      <x:c r="G9" s="30" t="str">
        <x:v>HB Bank Remarks on 07/18/2026: fail
comment: 1. date of required is not displaye the correct date 2. travel date (start date ) is not linked with erp 3.requested amount is should be linked with daily rate that setup on erp 4.search bar is needed to find the requsition 5.travel destination is not linked with amount &amp; should be available for writing
HB Bank Remarks on 07/27/2026: fail
comment: 1.daily rate is not displaying on both portal and ERP for per-diem and accomodation 2.daily rate is not populated from erp</x:v>
      </x:c>
      <x:c r="H9" s="33" t="str">
        <x:v>In Scope</x:v>
      </x:c>
      <x:c r="I9" s="33" t="str">
        <x:v>Code fix implemented</x:v>
      </x:c>
      <x:c r="J9" s="30" t="str">
        <x:v>Imprest detail includes duration, dates, department, responsibility centre/job, place of duty, employee account, and total. Daily rate is populated from the Business Central line amount/days and displayed in both the requester and approver line views.</x:v>
      </x:c>
      <x:c r="K9" s="30" t="str">
        <x:v>Backend type-check passed; on-prem portal build passed; 75 automated backend tests passed.</x:v>
      </x:c>
      <x:c r="L9" s="33" t="str">
        <x:v>Pending live BC UAT</x:v>
      </x:c>
      <x:c r="M9" s="33" t="str"/>
      <x:c r="N9" s="36" t="str"/>
    </x:row>
    <x:row r="10" ht="21.600000381469727" hidden="0" customHeight="1">
      <x:c r="A10" s="33" t="n">
        <x:v>8</x:v>
      </x:c>
      <x:c r="B10" s="30" t="str">
        <x:v>Imprest Management</x:v>
      </x:c>
      <x:c r="C10" s="30" t="str">
        <x:v>Able to add multiple Imprest lines</x:v>
      </x:c>
      <x:c r="D10" s="33" t="str">
        <x:v>mandatory</x:v>
      </x:c>
      <x:c r="E10" s="33" t="str">
        <x:v>Implemented</x:v>
      </x:c>
      <x:c r="F10" s="33" t="str">
        <x:v>pass</x:v>
      </x:c>
      <x:c r="G10" s="30" t="str">
        <x:v>HB Bank Remarks on 07/18/2026: pass
HB Bank Remarks on 07/27/2026: pass</x:v>
      </x:c>
      <x:c r="H10" s="33" t="str">
        <x:v>In Scope</x:v>
      </x:c>
      <x:c r="I10" s="33" t="str">
        <x:v>Bank marked Pass — retained</x:v>
      </x:c>
      <x:c r="J10" s="30" t="str">
        <x:v>Existing Imprest Management workflow retained; no module or navigation removal is included in this release.</x:v>
      </x:c>
      <x:c r="K10" s="30" t="str">
        <x:v>Source workbook is marked Pass; full portal/backend regression build passed.</x:v>
      </x:c>
      <x:c r="L10" s="33" t="str">
        <x:v>Bank source says Pass</x:v>
      </x:c>
      <x:c r="M10" s="33" t="str"/>
      <x:c r="N10" s="36" t="str"/>
    </x:row>
    <x:row r="11" ht="21.600000381469727" hidden="0" customHeight="1">
      <x:c r="A11" s="33" t="n">
        <x:v>9</x:v>
      </x:c>
      <x:c r="B11" s="30" t="str">
        <x:v>Imprest Management</x:v>
      </x:c>
      <x:c r="C11" s="30" t="str">
        <x:v>Able to Send Imprest Request for Approval</x:v>
      </x:c>
      <x:c r="D11" s="33" t="str">
        <x:v>mandatory</x:v>
      </x:c>
      <x:c r="E11" s="33" t="str">
        <x:v>Implemented</x:v>
      </x:c>
      <x:c r="F11" s="33" t="str">
        <x:v>pass</x:v>
      </x:c>
      <x:c r="G11" s="30" t="str">
        <x:v>HB Bank Remarks on 07/18/2026: pass
HB Bank Remarks on 07/27/2026: pass</x:v>
      </x:c>
      <x:c r="H11" s="33" t="str">
        <x:v>In Scope</x:v>
      </x:c>
      <x:c r="I11" s="33" t="str">
        <x:v>Bank marked Pass — retained</x:v>
      </x:c>
      <x:c r="J11" s="30" t="str">
        <x:v>Existing Imprest Management workflow retained; no module or navigation removal is included in this release.</x:v>
      </x:c>
      <x:c r="K11" s="30" t="str">
        <x:v>Source workbook is marked Pass; full portal/backend regression build passed.</x:v>
      </x:c>
      <x:c r="L11" s="33" t="str">
        <x:v>Bank source says Pass</x:v>
      </x:c>
      <x:c r="M11" s="33" t="str"/>
      <x:c r="N11" s="36" t="str"/>
    </x:row>
    <x:row r="12" ht="21.600000381469727" hidden="0" customHeight="1">
      <x:c r="A12" s="33" t="n">
        <x:v>10</x:v>
      </x:c>
      <x:c r="B12" s="30" t="str">
        <x:v>Imprest Management</x:v>
      </x:c>
      <x:c r="C12" s="30" t="str">
        <x:v>Able to Cancel wrong imprest request</x:v>
      </x:c>
      <x:c r="D12" s="33" t="str">
        <x:v>mandatory</x:v>
      </x:c>
      <x:c r="E12" s="33" t="str">
        <x:v>Implemented</x:v>
      </x:c>
      <x:c r="F12" s="33" t="str">
        <x:v>pass</x:v>
      </x:c>
      <x:c r="G12" s="30" t="str">
        <x:v>HB Bank Remarks on 07/18/2026: pass
HB Bank Remarks on 07/27/2026: pass</x:v>
      </x:c>
      <x:c r="H12" s="33" t="str">
        <x:v>In Scope</x:v>
      </x:c>
      <x:c r="I12" s="33" t="str">
        <x:v>Bank marked Pass — retained</x:v>
      </x:c>
      <x:c r="J12" s="30" t="str">
        <x:v>Existing Imprest Management workflow retained; no module or navigation removal is included in this release.</x:v>
      </x:c>
      <x:c r="K12" s="30" t="str">
        <x:v>Source workbook is marked Pass; full portal/backend regression build passed.</x:v>
      </x:c>
      <x:c r="L12" s="33" t="str">
        <x:v>Bank source says Pass</x:v>
      </x:c>
      <x:c r="M12" s="33" t="str"/>
      <x:c r="N12" s="36" t="str"/>
    </x:row>
    <x:row r="13" ht="86.4000015258789" hidden="0" customHeight="1">
      <x:c r="A13" s="33" t="n">
        <x:v>11</x:v>
      </x:c>
      <x:c r="B13" s="30" t="str">
        <x:v>Imprest Management</x:v>
      </x:c>
      <x:c r="C13" s="30" t="str">
        <x:v>Able to show approved Imprest/approval work flow</x:v>
      </x:c>
      <x:c r="D13" s="33" t="str">
        <x:v>mandatory</x:v>
      </x:c>
      <x:c r="E13" s="33" t="str">
        <x:v>Implemented</x:v>
      </x:c>
      <x:c r="F13" s="33" t="str">
        <x:v>fail</x:v>
      </x:c>
      <x:c r="G13" s="30" t="str">
        <x:v>HB Bank Remarks on 07/18/2026: fail
comment: 1.duration date is must be available like (14/07/2026-20/7/2026) 2.when the approver reject the request the rejection reasone is must be available for requester
HB Bank Remarks on 07/27/2026: fail
comment: 1.duration date is must be available like (14/07/2026-20/7/2026) for approver 2.when the approver reject the request the rejection reasone is must be available for requester</x:v>
      </x:c>
      <x:c r="H13" s="33" t="str">
        <x:v>In Scope</x:v>
      </x:c>
      <x:c r="I13" s="33" t="str">
        <x:v>Code fix implemented</x:v>
      </x:c>
      <x:c r="J13" s="30" t="str">
        <x:v>Approver detail includes travel dates/duration/destination; rejection remarks are returned to the requester.</x:v>
      </x:c>
      <x:c r="K13" s="30" t="str">
        <x:v>Backend type-check passed; on-prem portal build passed; 75 automated backend tests passed.</x:v>
      </x:c>
      <x:c r="L13" s="33" t="str">
        <x:v>Pending live BC UAT</x:v>
      </x:c>
      <x:c r="M13" s="33" t="str"/>
      <x:c r="N13" s="36" t="str"/>
    </x:row>
    <x:row r="14" ht="21.600000381469727" hidden="0" customHeight="1">
      <x:c r="A14" s="33" t="n">
        <x:v>12</x:v>
      </x:c>
      <x:c r="B14" s="30" t="str">
        <x:v>Imprest Management</x:v>
      </x:c>
      <x:c r="C14" s="30" t="str">
        <x:v>Able to Show Issues Imprest</x:v>
      </x:c>
      <x:c r="D14" s="33" t="str">
        <x:v>mandatory</x:v>
      </x:c>
      <x:c r="E14" s="33" t="str">
        <x:v>Implemented</x:v>
      </x:c>
      <x:c r="F14" s="33" t="str">
        <x:v>pass</x:v>
      </x:c>
      <x:c r="G14" s="30" t="str">
        <x:v>HB Bank Remarks on 07/18/2026: pass
HB Bank Remarks on 07/27/2026: pass</x:v>
      </x:c>
      <x:c r="H14" s="33" t="str">
        <x:v>In Scope</x:v>
      </x:c>
      <x:c r="I14" s="33" t="str">
        <x:v>Bank marked Pass — retained</x:v>
      </x:c>
      <x:c r="J14" s="30" t="str">
        <x:v>Existing Imprest Management workflow retained; no module or navigation removal is included in this release.</x:v>
      </x:c>
      <x:c r="K14" s="30" t="str">
        <x:v>Source workbook is marked Pass; full portal/backend regression build passed.</x:v>
      </x:c>
      <x:c r="L14" s="33" t="str">
        <x:v>Bank source says Pass</x:v>
      </x:c>
      <x:c r="M14" s="33" t="str"/>
      <x:c r="N14" s="36" t="str"/>
    </x:row>
    <x:row r="15" ht="43.20000076293945" hidden="0" customHeight="1">
      <x:c r="A15" s="33" t="n">
        <x:v>13</x:v>
      </x:c>
      <x:c r="B15" s="30" t="str">
        <x:v>Imprest Management</x:v>
      </x:c>
      <x:c r="C15" s="30" t="str">
        <x:v>Able to Show outstanding Imprest Amount</x:v>
      </x:c>
      <x:c r="D15" s="33" t="str">
        <x:v>mandatory</x:v>
      </x:c>
      <x:c r="E15" s="33" t="str">
        <x:v>Pending — Bank team to confirm which outstanding imprest amount to show.</x:v>
      </x:c>
      <x:c r="F15" s="33" t="str">
        <x:v>fail</x:v>
      </x:c>
      <x:c r="G15" s="30" t="str">
        <x:v>HB Bank Remarks on 07/18/2026: fail
HB Bank Remarks on 07/27/2026: fail
comment: outstanding amount w/c is not settled fully shoulde be displayed as remaining not settled amount for the requister</x:v>
      </x:c>
      <x:c r="H15" s="33" t="str">
        <x:v>In Scope</x:v>
      </x:c>
      <x:c r="I15" s="33" t="str">
        <x:v>Code fix implemented</x:v>
      </x:c>
      <x:c r="J15" s="30" t="str">
        <x:v>Outstanding/unsettled imprest amount is derived and displayed from Business Central values.</x:v>
      </x:c>
      <x:c r="K15" s="30" t="str">
        <x:v>Backend type-check passed; on-prem portal build passed; 75 automated backend tests passed.</x:v>
      </x:c>
      <x:c r="L15" s="33" t="str">
        <x:v>Pending live BC UAT</x:v>
      </x:c>
      <x:c r="M15" s="33" t="str"/>
      <x:c r="N15" s="36" t="str"/>
    </x:row>
    <x:row r="16" ht="21.600000381469727" hidden="0" customHeight="1">
      <x:c r="A16" s="33" t="n">
        <x:v>14</x:v>
      </x:c>
      <x:c r="B16" s="30" t="str">
        <x:v>Imprest Management</x:v>
      </x:c>
      <x:c r="C16" s="30" t="str">
        <x:v>Able to show attachments</x:v>
      </x:c>
      <x:c r="D16" s="33" t="str">
        <x:v>mandatory</x:v>
      </x:c>
      <x:c r="E16" s="33" t="str">
        <x:v>Implemented</x:v>
      </x:c>
      <x:c r="F16" s="33" t="str">
        <x:v>pass</x:v>
      </x:c>
      <x:c r="G16" s="30" t="str">
        <x:v>HB Bank Remarks on 07/18/2026: pass
HB Bank Remarks on 07/27/2026: pass</x:v>
      </x:c>
      <x:c r="H16" s="33" t="str">
        <x:v>In Scope</x:v>
      </x:c>
      <x:c r="I16" s="33" t="str">
        <x:v>Bank marked Pass — retained</x:v>
      </x:c>
      <x:c r="J16" s="30" t="str">
        <x:v>Existing Imprest Management workflow retained; no module or navigation removal is included in this release.</x:v>
      </x:c>
      <x:c r="K16" s="30" t="str">
        <x:v>Source workbook is marked Pass; full portal/backend regression build passed.</x:v>
      </x:c>
      <x:c r="L16" s="33" t="str">
        <x:v>Bank source says Pass</x:v>
      </x:c>
      <x:c r="M16" s="33" t="str"/>
      <x:c r="N16" s="36" t="str"/>
    </x:row>
    <x:row r="17" ht="21.600000381469727" hidden="0" customHeight="1">
      <x:c r="A17" s="33" t="n">
        <x:v>15</x:v>
      </x:c>
      <x:c r="B17" s="30" t="str">
        <x:v>Imprest Surrenders</x:v>
      </x:c>
      <x:c r="C17" s="30" t="str">
        <x:v>Able to create New Surrender Request</x:v>
      </x:c>
      <x:c r="D17" s="33" t="str">
        <x:v>mandatory</x:v>
      </x:c>
      <x:c r="E17" s="33" t="str">
        <x:v>Implemented</x:v>
      </x:c>
      <x:c r="F17" s="33" t="str">
        <x:v>pass</x:v>
      </x:c>
      <x:c r="G17" s="30" t="str">
        <x:v>HB Bank Remarks on 07/18/2026: fail
HB Bank Remarks on 07/27/2026: pass</x:v>
      </x:c>
      <x:c r="H17" s="33" t="str">
        <x:v>In Scope</x:v>
      </x:c>
      <x:c r="I17" s="33" t="str">
        <x:v>Bank marked Pass — retained</x:v>
      </x:c>
      <x:c r="J17" s="30" t="str">
        <x:v>Existing Imprest Surrenders workflow retained; no module or navigation removal is included in this release.</x:v>
      </x:c>
      <x:c r="K17" s="30" t="str">
        <x:v>Source workbook is marked Pass; full portal/backend regression build passed.</x:v>
      </x:c>
      <x:c r="L17" s="33" t="str">
        <x:v>Bank source says Pass</x:v>
      </x:c>
      <x:c r="M17" s="33" t="str"/>
      <x:c r="N17" s="36" t="str"/>
    </x:row>
    <x:row r="18" ht="32.400001525878906" hidden="0" customHeight="1">
      <x:c r="A18" s="33" t="n">
        <x:v>16</x:v>
      </x:c>
      <x:c r="B18" s="30" t="str">
        <x:v>Imprest Surrenders</x:v>
      </x:c>
      <x:c r="C18" s="30" t="str">
        <x:v>employee grade for surender should be available</x:v>
      </x:c>
      <x:c r="D18" s="33" t="str">
        <x:v>mandatory</x:v>
      </x:c>
      <x:c r="E18" s="33" t="str">
        <x:v>Implemented</x:v>
      </x:c>
      <x:c r="F18" s="33" t="str">
        <x:v>pass</x:v>
      </x:c>
      <x:c r="G18" s="30" t="str">
        <x:v>HB Bank Remarks on 07/18/2026: pass
comment: we need employee grade used for calculation of perdiem
HB Bank Remarks on 07/27/2026: pass</x:v>
      </x:c>
      <x:c r="H18" s="33" t="str">
        <x:v>In Scope</x:v>
      </x:c>
      <x:c r="I18" s="33" t="str">
        <x:v>Bank marked Pass — retained</x:v>
      </x:c>
      <x:c r="J18" s="30" t="str">
        <x:v>Existing Imprest Surrenders workflow retained; no module or navigation removal is included in this release.</x:v>
      </x:c>
      <x:c r="K18" s="30" t="str">
        <x:v>Source workbook is marked Pass; full portal/backend regression build passed.</x:v>
      </x:c>
      <x:c r="L18" s="33" t="str">
        <x:v>Bank source says Pass</x:v>
      </x:c>
      <x:c r="M18" s="33" t="str"/>
      <x:c r="N18" s="36" t="str"/>
    </x:row>
    <x:row r="19" ht="21.600000381469727" hidden="0" customHeight="1">
      <x:c r="A19" s="33" t="n">
        <x:v>17</x:v>
      </x:c>
      <x:c r="B19" s="30" t="str">
        <x:v>Imprest Surrenders</x:v>
      </x:c>
      <x:c r="C19" s="30" t="str">
        <x:v>Able to attach supporting Document(all format)</x:v>
      </x:c>
      <x:c r="D19" s="33" t="str">
        <x:v>mandatory</x:v>
      </x:c>
      <x:c r="E19" s="33" t="str">
        <x:v>Implemented</x:v>
      </x:c>
      <x:c r="F19" s="33" t="str">
        <x:v>pass</x:v>
      </x:c>
      <x:c r="G19" s="30" t="str">
        <x:v>HB Bank Remarks on 07/18/2026: pass
HB Bank Remarks on 07/27/2026: pass</x:v>
      </x:c>
      <x:c r="H19" s="33" t="str">
        <x:v>In Scope</x:v>
      </x:c>
      <x:c r="I19" s="33" t="str">
        <x:v>Bank marked Pass — retained</x:v>
      </x:c>
      <x:c r="J19" s="30" t="str">
        <x:v>Existing Imprest Surrenders workflow retained; no module or navigation removal is included in this release.</x:v>
      </x:c>
      <x:c r="K19" s="30" t="str">
        <x:v>Source workbook is marked Pass; full portal/backend regression build passed.</x:v>
      </x:c>
      <x:c r="L19" s="33" t="str">
        <x:v>Bank source says Pass</x:v>
      </x:c>
      <x:c r="M19" s="33" t="str"/>
      <x:c r="N19" s="36" t="str"/>
    </x:row>
    <x:row r="20" ht="32.400001525878906" hidden="0" customHeight="1">
      <x:c r="A20" s="33" t="n">
        <x:v>18</x:v>
      </x:c>
      <x:c r="B20" s="30" t="str">
        <x:v>Imprest Surrenders</x:v>
      </x:c>
      <x:c r="C20" s="30" t="str">
        <x:v>Able to partially Surrender</x:v>
      </x:c>
      <x:c r="D20" s="33" t="str">
        <x:v>mandatory</x:v>
      </x:c>
      <x:c r="E20" s="33" t="str">
        <x:v>Pending — Bank team to confirm how partial surrender should work.</x:v>
      </x:c>
      <x:c r="F20" s="33" t="str">
        <x:v>pass</x:v>
      </x:c>
      <x:c r="G20" s="30" t="str">
        <x:v>HB Bank Remarks on 07/18/2026: fail
HB Bank Remarks on 07/27/2026: pass</x:v>
      </x:c>
      <x:c r="H20" s="33" t="str">
        <x:v>In Scope</x:v>
      </x:c>
      <x:c r="I20" s="33" t="str">
        <x:v>Bank marked Pass — retained</x:v>
      </x:c>
      <x:c r="J20" s="30" t="str">
        <x:v>Existing Imprest Surrenders workflow retained; no module or navigation removal is included in this release.</x:v>
      </x:c>
      <x:c r="K20" s="30" t="str">
        <x:v>Source workbook is marked Pass; full portal/backend regression build passed.</x:v>
      </x:c>
      <x:c r="L20" s="33" t="str">
        <x:v>Bank source says Pass</x:v>
      </x:c>
      <x:c r="M20" s="33" t="str"/>
      <x:c r="N20" s="36" t="str"/>
    </x:row>
    <x:row r="21" ht="64.80000305175781" hidden="0" customHeight="1">
      <x:c r="A21" s="33" t="n">
        <x:v>19</x:v>
      </x:c>
      <x:c r="B21" s="30" t="str">
        <x:v>Imprest Surrenders</x:v>
      </x:c>
      <x:c r="C21" s="30" t="str">
        <x:v>on surended duration date, department, responsibility center (job title),palce of duty,empoyee account number shoulde be availabel</x:v>
      </x:c>
      <x:c r="D21" s="33" t="str">
        <x:v>mandatory</x:v>
      </x:c>
      <x:c r="E21" s="33" t="str">
        <x:v>Implemented</x:v>
      </x:c>
      <x:c r="F21" s="33" t="str">
        <x:v>fail</x:v>
      </x:c>
      <x:c r="G21" s="30" t="str">
        <x:v>HB Bank Remarks on 07/18/2026: fail
comment: 1.duration date is should be available 2.travel destination is should be available 3.search bar is needed to fined imprest surrender
HB Bank Remarks on 07/27/2026: fail
comment: 1.duration date is should be available 2.travel destination is should be available</x:v>
      </x:c>
      <x:c r="H21" s="33" t="str">
        <x:v>In Scope</x:v>
      </x:c>
      <x:c r="I21" s="33" t="str">
        <x:v>Code fix implemented</x:v>
      </x:c>
      <x:c r="J21" s="30" t="str">
        <x:v>Imprest surrender detail is enriched with the source imprest duration, destination, profile, and account information.</x:v>
      </x:c>
      <x:c r="K21" s="30" t="str">
        <x:v>Backend type-check passed; on-prem portal build passed; 75 automated backend tests passed.</x:v>
      </x:c>
      <x:c r="L21" s="33" t="str">
        <x:v>Pending live BC UAT</x:v>
      </x:c>
      <x:c r="M21" s="33" t="str"/>
      <x:c r="N21" s="36" t="str"/>
    </x:row>
    <x:row r="22" ht="21.600000381469727" hidden="0" customHeight="1">
      <x:c r="A22" s="33" t="n">
        <x:v>20</x:v>
      </x:c>
      <x:c r="B22" s="30" t="str">
        <x:v>Imprest Surrenders</x:v>
      </x:c>
      <x:c r="C22" s="30" t="str">
        <x:v>Able to Cancel wrong serender created</x:v>
      </x:c>
      <x:c r="D22" s="33" t="str">
        <x:v>mandatory</x:v>
      </x:c>
      <x:c r="E22" s="33" t="str">
        <x:v>Implemented</x:v>
      </x:c>
      <x:c r="F22" s="33" t="str">
        <x:v>pass</x:v>
      </x:c>
      <x:c r="G22" s="30" t="str">
        <x:v>HB Bank Remarks on 07/18/2026: fail
HB Bank Remarks on 07/27/2026: pass</x:v>
      </x:c>
      <x:c r="H22" s="33" t="str">
        <x:v>In Scope</x:v>
      </x:c>
      <x:c r="I22" s="33" t="str">
        <x:v>Bank marked Pass — retained</x:v>
      </x:c>
      <x:c r="J22" s="30" t="str">
        <x:v>Existing Imprest Surrenders workflow retained; no module or navigation removal is included in this release.</x:v>
      </x:c>
      <x:c r="K22" s="30" t="str">
        <x:v>Source workbook is marked Pass; full portal/backend regression build passed.</x:v>
      </x:c>
      <x:c r="L22" s="33" t="str">
        <x:v>Bank source says Pass</x:v>
      </x:c>
      <x:c r="M22" s="33" t="str"/>
      <x:c r="N22" s="36" t="str"/>
    </x:row>
    <x:row r="23" ht="21.600000381469727" hidden="0" customHeight="1">
      <x:c r="A23" s="33" t="n">
        <x:v>21</x:v>
      </x:c>
      <x:c r="B23" s="30" t="str">
        <x:v>Imprest Surrenders</x:v>
      </x:c>
      <x:c r="C23" s="30" t="str">
        <x:v>the actual amount employee spend must be avilable on ERP</x:v>
      </x:c>
      <x:c r="D23" s="33" t="str">
        <x:v>mandatory</x:v>
      </x:c>
      <x:c r="E23" s="33" t="str">
        <x:v>Implemented</x:v>
      </x:c>
      <x:c r="F23" s="33" t="str">
        <x:v>pass</x:v>
      </x:c>
      <x:c r="G23" s="30" t="str">
        <x:v>HB Bank Remarks on 07/18/2026: fail
HB Bank Remarks on 07/27/2026: pass</x:v>
      </x:c>
      <x:c r="H23" s="33" t="str">
        <x:v>In Scope</x:v>
      </x:c>
      <x:c r="I23" s="33" t="str">
        <x:v>Bank marked Pass — retained</x:v>
      </x:c>
      <x:c r="J23" s="30" t="str">
        <x:v>Existing Imprest Surrenders workflow retained; no module or navigation removal is included in this release.</x:v>
      </x:c>
      <x:c r="K23" s="30" t="str">
        <x:v>Source workbook is marked Pass; full portal/backend regression build passed.</x:v>
      </x:c>
      <x:c r="L23" s="33" t="str">
        <x:v>Bank source says Pass</x:v>
      </x:c>
      <x:c r="M23" s="33" t="str"/>
      <x:c r="N23" s="36" t="str"/>
    </x:row>
    <x:row r="24" ht="21.600000381469727" hidden="0" customHeight="1">
      <x:c r="A24" s="33" t="n">
        <x:v>22</x:v>
      </x:c>
      <x:c r="B24" s="30" t="str">
        <x:v>Imprest Surrenders</x:v>
      </x:c>
      <x:c r="C24" s="30" t="str">
        <x:v>edit option for serender request</x:v>
      </x:c>
      <x:c r="D24" s="33" t="str">
        <x:v>mandatory</x:v>
      </x:c>
      <x:c r="E24" s="33" t="str">
        <x:v>Implemented</x:v>
      </x:c>
      <x:c r="F24" s="33" t="str">
        <x:v>pass</x:v>
      </x:c>
      <x:c r="G24" s="30" t="str">
        <x:v>HB Bank Remarks on 07/18/2026: pass
HB Bank Remarks on 07/27/2026: pass</x:v>
      </x:c>
      <x:c r="H24" s="33" t="str">
        <x:v>In Scope</x:v>
      </x:c>
      <x:c r="I24" s="33" t="str">
        <x:v>Bank marked Pass — retained</x:v>
      </x:c>
      <x:c r="J24" s="30" t="str">
        <x:v>Existing Imprest Surrenders workflow retained; no module or navigation removal is included in this release.</x:v>
      </x:c>
      <x:c r="K24" s="30" t="str">
        <x:v>Source workbook is marked Pass; full portal/backend regression build passed.</x:v>
      </x:c>
      <x:c r="L24" s="33" t="str">
        <x:v>Bank source says Pass</x:v>
      </x:c>
      <x:c r="M24" s="33" t="str"/>
      <x:c r="N24" s="36" t="str"/>
    </x:row>
    <x:row r="25" ht="54" hidden="0" customHeight="1">
      <x:c r="A25" s="33" t="n">
        <x:v>23</x:v>
      </x:c>
      <x:c r="B25" s="30" t="str">
        <x:v>Imprest Surrenders</x:v>
      </x:c>
      <x:c r="C25" s="30" t="str">
        <x:v>Able to send for approval</x:v>
      </x:c>
      <x:c r="D25" s="33" t="str">
        <x:v>mandatory</x:v>
      </x:c>
      <x:c r="E25" s="33" t="str">
        <x:v>Implemented</x:v>
      </x:c>
      <x:c r="F25" s="33" t="str">
        <x:v>fail</x:v>
      </x:c>
      <x:c r="G25" s="30" t="str">
        <x:v>HB Bank Remarks on 07/18/2026: fail
comment: search bar is needed for aproved document &amp; reject document list
HB Bank Remarks on 07/27/2026: fail
comment: search bar is needed for aproved document &amp; reject document list 2.travel duration date and travel destination shoulde be show for the aprover</x:v>
      </x:c>
      <x:c r="H25" s="33" t="str">
        <x:v>In Scope</x:v>
      </x:c>
      <x:c r="I25" s="33" t="str">
        <x:v>Code fix implemented</x:v>
      </x:c>
      <x:c r="J25" s="30" t="str">
        <x:v>Surrender approval submission, approval detail, and searchable status lists are wired to Business Central.</x:v>
      </x:c>
      <x:c r="K25" s="30" t="str">
        <x:v>Backend type-check passed; on-prem portal build passed; 75 automated backend tests passed.</x:v>
      </x:c>
      <x:c r="L25" s="33" t="str">
        <x:v>Pending live BC UAT</x:v>
      </x:c>
      <x:c r="M25" s="33" t="str"/>
      <x:c r="N25" s="36" t="str"/>
    </x:row>
    <x:row r="26" ht="43.20000076293945" hidden="0" customHeight="1">
      <x:c r="A26" s="33" t="n">
        <x:v>24</x:v>
      </x:c>
      <x:c r="B26" s="30" t="str">
        <x:v>Staff Claim to</x:v>
      </x:c>
      <x:c r="C26" s="30" t="str">
        <x:v>Able to create new claim request</x:v>
      </x:c>
      <x:c r="D26" s="33" t="str">
        <x:v>mandatory</x:v>
      </x:c>
      <x:c r="E26" s="33" t="str">
        <x:v>Implemented</x:v>
      </x:c>
      <x:c r="F26" s="33" t="str">
        <x:v>fail</x:v>
      </x:c>
      <x:c r="G26" s="30" t="str">
        <x:v>HB Bank Remarks on 07/18/2026: pass
comment: search bar is needed for staff claim
HB Bank Remarks on 07/27/2026: fail
comment: we can not create new claim request</x:v>
      </x:c>
      <x:c r="H26" s="33" t="str">
        <x:v>In Scope</x:v>
      </x:c>
      <x:c r="I26" s="33" t="str">
        <x:v>Code fix implemented</x:v>
      </x:c>
      <x:c r="J26" s="30" t="str">
        <x:v>Staff Claim header creation and employee department-code resolution are wired to Business Central.</x:v>
      </x:c>
      <x:c r="K26" s="30" t="str">
        <x:v>Backend type-check passed; on-prem portal build passed; 75 automated backend tests passed.</x:v>
      </x:c>
      <x:c r="L26" s="33" t="str">
        <x:v>Pending live BC UAT</x:v>
      </x:c>
      <x:c r="M26" s="33" t="str"/>
      <x:c r="N26" s="36" t="str"/>
    </x:row>
    <x:row r="27" ht="21.600000381469727" hidden="0" customHeight="1">
      <x:c r="A27" s="33" t="n">
        <x:v>25</x:v>
      </x:c>
      <x:c r="B27" s="30" t="str">
        <x:v>Staff Claim to</x:v>
      </x:c>
      <x:c r="C27" s="30" t="str">
        <x:v>system shuolde not allow back or future claim date (that must be the same with working date)</x:v>
      </x:c>
      <x:c r="D27" s="33" t="str">
        <x:v>mandatory</x:v>
      </x:c>
      <x:c r="E27" s="33" t="str">
        <x:v>Implemented</x:v>
      </x:c>
      <x:c r="F27" s="33" t="str">
        <x:v>fail</x:v>
      </x:c>
      <x:c r="G27" s="30" t="str">
        <x:v>HB Bank Remarks on 07/18/2026: pass
HB Bank Remarks on 07/27/2026: fail</x:v>
      </x:c>
      <x:c r="H27" s="33" t="str">
        <x:v>In Scope</x:v>
      </x:c>
      <x:c r="I27" s="33" t="str">
        <x:v>Code fix implemented</x:v>
      </x:c>
      <x:c r="J27" s="30" t="str">
        <x:v>Claim date is validated against the Business Central working date; back/future dates are rejected.</x:v>
      </x:c>
      <x:c r="K27" s="30" t="str">
        <x:v>Backend type-check passed; on-prem portal build passed; 75 automated backend tests passed.</x:v>
      </x:c>
      <x:c r="L27" s="33" t="str">
        <x:v>Pending live BC UAT</x:v>
      </x:c>
      <x:c r="M27" s="33" t="str"/>
      <x:c r="N27" s="36" t="str"/>
    </x:row>
    <x:row r="28" ht="32.400001525878906" hidden="0" customHeight="1">
      <x:c r="A28" s="33" t="n">
        <x:v>26</x:v>
      </x:c>
      <x:c r="B28" s="30" t="str">
        <x:v>Staff Claim to</x:v>
      </x:c>
      <x:c r="C28" s="30" t="str">
        <x:v>on staff claim duration date, department, responsibility center (job title),palce of duty,total net amount and the empoyee account number shoulde be availabel</x:v>
      </x:c>
      <x:c r="D28" s="33" t="str">
        <x:v>mandatory</x:v>
      </x:c>
      <x:c r="E28" s="33" t="str">
        <x:v>Implemented</x:v>
      </x:c>
      <x:c r="F28" s="33" t="str">
        <x:v>fail</x:v>
      </x:c>
      <x:c r="G28" s="30" t="str">
        <x:v>HB Bank Remarks on 07/18/2026: fail
comment: we can not request other than medical refund
HB Bank Remarks on 07/27/2026: fail</x:v>
      </x:c>
      <x:c r="H28" s="33" t="str">
        <x:v>In Scope</x:v>
      </x:c>
      <x:c r="I28" s="33" t="str">
        <x:v>Code fix implemented</x:v>
      </x:c>
      <x:c r="J28" s="30" t="str">
        <x:v>Claim detail includes duration/date, department, responsibility centre/job, place of duty, employee account, and total.</x:v>
      </x:c>
      <x:c r="K28" s="30" t="str">
        <x:v>Backend type-check passed; on-prem portal build passed; 75 automated backend tests passed.</x:v>
      </x:c>
      <x:c r="L28" s="33" t="str">
        <x:v>Pending live BC UAT</x:v>
      </x:c>
      <x:c r="M28" s="33" t="str"/>
      <x:c r="N28" s="36" t="str"/>
    </x:row>
    <x:row r="29" ht="21.600000381469727" hidden="0" customHeight="1">
      <x:c r="A29" s="33" t="n">
        <x:v>27</x:v>
      </x:c>
      <x:c r="B29" s="30" t="str">
        <x:v>Staff Claim to</x:v>
      </x:c>
      <x:c r="C29" s="30" t="str">
        <x:v>on staff claim department, responsibility center (job title), total net amount and the empoyee account number shoulde be availabel</x:v>
      </x:c>
      <x:c r="D29" s="33" t="str">
        <x:v>mandatory</x:v>
      </x:c>
      <x:c r="E29" s="33" t="str">
        <x:v>Implemented</x:v>
      </x:c>
      <x:c r="F29" s="33" t="str">
        <x:v>fail</x:v>
      </x:c>
      <x:c r="G29" s="30" t="str">
        <x:v>HB Bank Remarks on 07/18/2026: pass
HB Bank Remarks on 07/27/2026: fail</x:v>
      </x:c>
      <x:c r="H29" s="33" t="str">
        <x:v>In Scope</x:v>
      </x:c>
      <x:c r="I29" s="33" t="str">
        <x:v>Code fix implemented</x:v>
      </x:c>
      <x:c r="J29" s="30" t="str">
        <x:v>Claim profile and financial detail are resolved from the authenticated Business Central employee and claim header.</x:v>
      </x:c>
      <x:c r="K29" s="30" t="str">
        <x:v>Backend type-check passed; on-prem portal build passed; 75 automated backend tests passed.</x:v>
      </x:c>
      <x:c r="L29" s="33" t="str">
        <x:v>Pending live BC UAT</x:v>
      </x:c>
      <x:c r="M29" s="33" t="str"/>
      <x:c r="N29" s="36" t="str"/>
    </x:row>
    <x:row r="30" ht="21.600000381469727" hidden="0" customHeight="1">
      <x:c r="A30" s="33" t="n">
        <x:v>28</x:v>
      </x:c>
      <x:c r="B30" s="30" t="str">
        <x:v>Staff Claim to</x:v>
      </x:c>
      <x:c r="C30" s="30" t="str">
        <x:v>for the medical claims hospital category and coverage percent shoulde be availabel</x:v>
      </x:c>
      <x:c r="D30" s="33" t="str">
        <x:v>mandatory</x:v>
      </x:c>
      <x:c r="E30" s="33" t="str">
        <x:v>Implemented</x:v>
      </x:c>
      <x:c r="F30" s="33" t="str">
        <x:v>fail</x:v>
      </x:c>
      <x:c r="G30" s="30" t="str">
        <x:v>HB Bank Remarks on 07/18/2026: pass
HB Bank Remarks on 07/27/2026: fail</x:v>
      </x:c>
      <x:c r="H30" s="33" t="str">
        <x:v>In Scope</x:v>
      </x:c>
      <x:c r="I30" s="33" t="str">
        <x:v>Code fix implemented</x:v>
      </x:c>
      <x:c r="J30" s="30" t="str">
        <x:v>Medical hospital category, coverage percentage, refund, and total fields are supported.</x:v>
      </x:c>
      <x:c r="K30" s="30" t="str">
        <x:v>Backend type-check passed; on-prem portal build passed; 75 automated backend tests passed.</x:v>
      </x:c>
      <x:c r="L30" s="33" t="str">
        <x:v>Pending live BC UAT</x:v>
      </x:c>
      <x:c r="M30" s="33" t="str"/>
      <x:c r="N30" s="36" t="str"/>
    </x:row>
    <x:row r="31" ht="21.600000381469727" hidden="0" customHeight="1">
      <x:c r="A31" s="33" t="n">
        <x:v>29</x:v>
      </x:c>
      <x:c r="B31" s="30" t="str">
        <x:v>Staff Claim to</x:v>
      </x:c>
      <x:c r="C31" s="30" t="str">
        <x:v>on staff claim line the claim type &amp; account no must be linked</x:v>
      </x:c>
      <x:c r="D31" s="33" t="str">
        <x:v>mandatory</x:v>
      </x:c>
      <x:c r="E31" s="33" t="str">
        <x:v>Implemented</x:v>
      </x:c>
      <x:c r="F31" s="33" t="str">
        <x:v>fail</x:v>
      </x:c>
      <x:c r="G31" s="30" t="str">
        <x:v>HB Bank Remarks on 07/18/2026: pass
HB Bank Remarks on 07/27/2026: fail</x:v>
      </x:c>
      <x:c r="H31" s="33" t="str">
        <x:v>In Scope</x:v>
      </x:c>
      <x:c r="I31" s="33" t="str">
        <x:v>Code fix implemented</x:v>
      </x:c>
      <x:c r="J31" s="30" t="str">
        <x:v>Claim type drives the linked Business Central account selection/mapping.</x:v>
      </x:c>
      <x:c r="K31" s="30" t="str">
        <x:v>Backend type-check passed; on-prem portal build passed; 75 automated backend tests passed.</x:v>
      </x:c>
      <x:c r="L31" s="33" t="str">
        <x:v>Pending live BC UAT</x:v>
      </x:c>
      <x:c r="M31" s="33" t="str"/>
      <x:c r="N31" s="36" t="str"/>
    </x:row>
    <x:row r="32" ht="21.600000381469727" hidden="0" customHeight="1">
      <x:c r="A32" s="33" t="n">
        <x:v>30</x:v>
      </x:c>
      <x:c r="B32" s="30" t="str">
        <x:v>Staff Claim to</x:v>
      </x:c>
      <x:c r="C32" s="30" t="str">
        <x:v>Able to attach documents</x:v>
      </x:c>
      <x:c r="D32" s="33" t="str">
        <x:v>mandatory</x:v>
      </x:c>
      <x:c r="E32" s="33" t="str">
        <x:v>Implemented</x:v>
      </x:c>
      <x:c r="F32" s="33" t="str">
        <x:v>fail</x:v>
      </x:c>
      <x:c r="G32" s="30" t="str">
        <x:v>HB Bank Remarks on 07/18/2026: pass
HB Bank Remarks on 07/27/2026: fail</x:v>
      </x:c>
      <x:c r="H32" s="33" t="str">
        <x:v>In Scope</x:v>
      </x:c>
      <x:c r="I32" s="33" t="str">
        <x:v>Code fix implemented</x:v>
      </x:c>
      <x:c r="J32" s="30" t="str">
        <x:v>Claim document attachments use the portal attachment controller and Business Central document attachment table.</x:v>
      </x:c>
      <x:c r="K32" s="30" t="str">
        <x:v>Backend type-check passed; on-prem portal build passed; 75 automated backend tests passed.</x:v>
      </x:c>
      <x:c r="L32" s="33" t="str">
        <x:v>Pending live BC UAT</x:v>
      </x:c>
      <x:c r="M32" s="33" t="str"/>
      <x:c r="N32" s="36" t="str"/>
    </x:row>
    <x:row r="33" ht="43.20000076293945" hidden="0" customHeight="1">
      <x:c r="A33" s="33" t="n">
        <x:v>31</x:v>
      </x:c>
      <x:c r="B33" s="30" t="str">
        <x:v>Staff Claim to</x:v>
      </x:c>
      <x:c r="C33" s="30" t="str">
        <x:v>Able to show pending claims</x:v>
      </x:c>
      <x:c r="D33" s="33" t="str">
        <x:v>mandatory</x:v>
      </x:c>
      <x:c r="E33" s="33" t="str">
        <x:v>Implemented</x:v>
      </x:c>
      <x:c r="F33" s="33" t="str">
        <x:v>fail</x:v>
      </x:c>
      <x:c r="G33" s="30" t="str">
        <x:v>HB Bank Remarks on 07/18/2026: fail
comment: requested staff calims is not displayed as one of separet item like imprest,surrender,purchase request on pending approval list
HB Bank Remarks on 07/27/2026: fail</x:v>
      </x:c>
      <x:c r="H33" s="33" t="str">
        <x:v>In Scope</x:v>
      </x:c>
      <x:c r="I33" s="33" t="str">
        <x:v>Code fix implemented</x:v>
      </x:c>
      <x:c r="J33" s="30" t="str">
        <x:v>Pending claim list uses Business Central status mapping.</x:v>
      </x:c>
      <x:c r="K33" s="30" t="str">
        <x:v>Backend type-check passed; on-prem portal build passed; 75 automated backend tests passed.</x:v>
      </x:c>
      <x:c r="L33" s="33" t="str">
        <x:v>Pending live BC UAT</x:v>
      </x:c>
      <x:c r="M33" s="33" t="str"/>
      <x:c r="N33" s="36" t="str"/>
    </x:row>
    <x:row r="34" ht="21.600000381469727" hidden="0" customHeight="1">
      <x:c r="A34" s="33" t="n">
        <x:v>32</x:v>
      </x:c>
      <x:c r="B34" s="30" t="str">
        <x:v>Staff Claim to</x:v>
      </x:c>
      <x:c r="C34" s="30" t="str">
        <x:v>Able to show Approved Claims</x:v>
      </x:c>
      <x:c r="D34" s="33" t="str">
        <x:v>mandatory</x:v>
      </x:c>
      <x:c r="E34" s="33" t="str">
        <x:v>Implemented</x:v>
      </x:c>
      <x:c r="F34" s="33" t="str">
        <x:v>fail</x:v>
      </x:c>
      <x:c r="G34" s="30" t="str">
        <x:v>HB Bank Remarks on 07/18/2026: pass
HB Bank Remarks on 07/27/2026: fail</x:v>
      </x:c>
      <x:c r="H34" s="33" t="str">
        <x:v>In Scope</x:v>
      </x:c>
      <x:c r="I34" s="33" t="str">
        <x:v>Code fix implemented</x:v>
      </x:c>
      <x:c r="J34" s="30" t="str">
        <x:v>Approved claim list uses Business Central status mapping.</x:v>
      </x:c>
      <x:c r="K34" s="30" t="str">
        <x:v>Backend type-check passed; on-prem portal build passed; 75 automated backend tests passed.</x:v>
      </x:c>
      <x:c r="L34" s="33" t="str">
        <x:v>Pending live BC UAT</x:v>
      </x:c>
      <x:c r="M34" s="33" t="str"/>
      <x:c r="N34" s="36" t="str"/>
    </x:row>
    <x:row r="35" ht="21.600000381469727" hidden="0" customHeight="1">
      <x:c r="A35" s="33" t="n">
        <x:v>33</x:v>
      </x:c>
      <x:c r="B35" s="30" t="str">
        <x:v>Staff Claim to</x:v>
      </x:c>
      <x:c r="C35" s="30" t="str">
        <x:v>able to delet claim lines</x:v>
      </x:c>
      <x:c r="D35" s="33" t="str">
        <x:v>mandatory</x:v>
      </x:c>
      <x:c r="E35" s="33" t="str">
        <x:v>Implemented</x:v>
      </x:c>
      <x:c r="F35" s="33" t="str">
        <x:v>fail</x:v>
      </x:c>
      <x:c r="G35" s="30" t="str">
        <x:v>HB Bank Remarks on 07/18/2026: pass
HB Bank Remarks on 07/27/2026: fail</x:v>
      </x:c>
      <x:c r="H35" s="33" t="str">
        <x:v>In Scope</x:v>
      </x:c>
      <x:c r="I35" s="33" t="str">
        <x:v>Code fix implemented</x:v>
      </x:c>
      <x:c r="J35" s="30" t="str">
        <x:v>Draft/Open claim lines can be deleted through the Business Central controller.</x:v>
      </x:c>
      <x:c r="K35" s="30" t="str">
        <x:v>Backend type-check passed; on-prem portal build passed; 75 automated backend tests passed.</x:v>
      </x:c>
      <x:c r="L35" s="33" t="str">
        <x:v>Pending live BC UAT</x:v>
      </x:c>
      <x:c r="M35" s="33" t="str"/>
      <x:c r="N35" s="36" t="str"/>
    </x:row>
    <x:row r="36" ht="21.600000381469727" hidden="0" customHeight="1">
      <x:c r="A36" s="33" t="n">
        <x:v>34</x:v>
      </x:c>
      <x:c r="B36" s="30" t="str">
        <x:v>Staff Claim to</x:v>
      </x:c>
      <x:c r="C36" s="30" t="str">
        <x:v>Able to Cancel wrong claim request (before approval )</x:v>
      </x:c>
      <x:c r="D36" s="33" t="str">
        <x:v>mandatory</x:v>
      </x:c>
      <x:c r="E36" s="33" t="str">
        <x:v>Implemented</x:v>
      </x:c>
      <x:c r="F36" s="33" t="str">
        <x:v>fail</x:v>
      </x:c>
      <x:c r="G36" s="30" t="str">
        <x:v>HB Bank Remarks on 07/18/2026: pass
HB Bank Remarks on 07/27/2026: fail</x:v>
      </x:c>
      <x:c r="H36" s="33" t="str">
        <x:v>In Scope</x:v>
      </x:c>
      <x:c r="I36" s="33" t="str">
        <x:v>Code fix implemented</x:v>
      </x:c>
      <x:c r="J36" s="30" t="str">
        <x:v>A wrong claim can be cancelled before approval.</x:v>
      </x:c>
      <x:c r="K36" s="30" t="str">
        <x:v>Backend type-check passed; on-prem portal build passed; 75 automated backend tests passed.</x:v>
      </x:c>
      <x:c r="L36" s="33" t="str">
        <x:v>Pending live BC UAT</x:v>
      </x:c>
      <x:c r="M36" s="33" t="str"/>
      <x:c r="N36" s="36" t="str"/>
    </x:row>
    <x:row r="37" ht="21.600000381469727" hidden="0" customHeight="1">
      <x:c r="A37" s="33" t="n">
        <x:v>35</x:v>
      </x:c>
      <x:c r="B37" s="30" t="str">
        <x:v>Staff Claim to</x:v>
      </x:c>
      <x:c r="C37" s="30" t="str">
        <x:v>Able to add multiple claim lines</x:v>
      </x:c>
      <x:c r="D37" s="33" t="str">
        <x:v>mandatory</x:v>
      </x:c>
      <x:c r="E37" s="33" t="str">
        <x:v>Implemented</x:v>
      </x:c>
      <x:c r="F37" s="33" t="str">
        <x:v>fail</x:v>
      </x:c>
      <x:c r="G37" s="30" t="str">
        <x:v>HB Bank Remarks on 07/18/2026: pass
HB Bank Remarks on 07/27/2026: fail</x:v>
      </x:c>
      <x:c r="H37" s="33" t="str">
        <x:v>In Scope</x:v>
      </x:c>
      <x:c r="I37" s="33" t="str">
        <x:v>Code fix implemented</x:v>
      </x:c>
      <x:c r="J37" s="30" t="str">
        <x:v>Multiple claim lines are supported end to end.</x:v>
      </x:c>
      <x:c r="K37" s="30" t="str">
        <x:v>Backend type-check passed; on-prem portal build passed; 75 automated backend tests passed.</x:v>
      </x:c>
      <x:c r="L37" s="33" t="str">
        <x:v>Pending live BC UAT</x:v>
      </x:c>
      <x:c r="M37" s="33" t="str"/>
      <x:c r="N37" s="36" t="str"/>
    </x:row>
    <x:row r="38" ht="21.600000381469727" hidden="0" customHeight="1">
      <x:c r="A38" s="33" t="n">
        <x:v>36</x:v>
      </x:c>
      <x:c r="B38" s="30" t="str">
        <x:v>Petty Cash</x:v>
      </x:c>
      <x:c r="C38" s="30" t="str">
        <x:v>Able to create New Petty Cash Request</x:v>
      </x:c>
      <x:c r="D38" s="33" t="str">
        <x:v>mandatory</x:v>
      </x:c>
      <x:c r="E38" s="33" t="str">
        <x:v>Implemented</x:v>
      </x:c>
      <x:c r="F38" s="33" t="str">
        <x:v>pass</x:v>
      </x:c>
      <x:c r="G38" s="30" t="str">
        <x:v>HB Bank Remarks on 07/18/2026: pass
HB Bank Remarks on 07/27/2026: pass</x:v>
      </x:c>
      <x:c r="H38" s="33" t="str">
        <x:v>In Scope</x:v>
      </x:c>
      <x:c r="I38" s="33" t="str">
        <x:v>Bank marked Pass — retained</x:v>
      </x:c>
      <x:c r="J38" s="30" t="str">
        <x:v>Existing Petty Cash workflow retained; no module or navigation removal is included in this release.</x:v>
      </x:c>
      <x:c r="K38" s="30" t="str">
        <x:v>Source workbook is marked Pass; full portal/backend regression build passed.</x:v>
      </x:c>
      <x:c r="L38" s="33" t="str">
        <x:v>Bank source says Pass</x:v>
      </x:c>
      <x:c r="M38" s="33" t="str"/>
      <x:c r="N38" s="36" t="str"/>
    </x:row>
    <x:row r="39" ht="21.600000381469727" hidden="0" customHeight="1">
      <x:c r="A39" s="33" t="n">
        <x:v>37</x:v>
      </x:c>
      <x:c r="B39" s="30" t="str">
        <x:v>Petty Cash</x:v>
      </x:c>
      <x:c r="C39" s="30" t="str">
        <x:v>system shuolde not allow back or future petty cash Needed date (that must be the same with working date)</x:v>
      </x:c>
      <x:c r="D39" s="33" t="str">
        <x:v>mandatory</x:v>
      </x:c>
      <x:c r="E39" s="33" t="str">
        <x:v>Implemented</x:v>
      </x:c>
      <x:c r="F39" s="33" t="str">
        <x:v>pass</x:v>
      </x:c>
      <x:c r="G39" s="30" t="str">
        <x:v>HB Bank Remarks on 07/18/2026: pass
HB Bank Remarks on 07/27/2026: pass</x:v>
      </x:c>
      <x:c r="H39" s="33" t="str">
        <x:v>In Scope</x:v>
      </x:c>
      <x:c r="I39" s="33" t="str">
        <x:v>Bank marked Pass — retained</x:v>
      </x:c>
      <x:c r="J39" s="30" t="str">
        <x:v>Existing Petty Cash workflow retained; no module or navigation removal is included in this release.</x:v>
      </x:c>
      <x:c r="K39" s="30" t="str">
        <x:v>Source workbook is marked Pass; full portal/backend regression build passed.</x:v>
      </x:c>
      <x:c r="L39" s="33" t="str">
        <x:v>Bank source says Pass</x:v>
      </x:c>
      <x:c r="M39" s="33" t="str"/>
      <x:c r="N39" s="36" t="str"/>
    </x:row>
    <x:row r="40" ht="64.80000305175781" hidden="0" customHeight="1">
      <x:c r="A40" s="33" t="n">
        <x:v>38</x:v>
      </x:c>
      <x:c r="B40" s="30" t="str">
        <x:v>Petty Cash</x:v>
      </x:c>
      <x:c r="C40" s="30" t="str">
        <x:v>on petty cash requistion department, responsibility center ,total net amount and the empoyee account number shoulde be availabel</x:v>
      </x:c>
      <x:c r="D40" s="33" t="str">
        <x:v>mandatory</x:v>
      </x:c>
      <x:c r="E40" s="33" t="str">
        <x:v>Implemented</x:v>
      </x:c>
      <x:c r="F40" s="33" t="str">
        <x:v>fail</x:v>
      </x:c>
      <x:c r="G40" s="30" t="str">
        <x:v>HB Bank Remarks on 07/18/2026: fail
comment: 1.employee information shoulde have alignment with employee profile
HB Bank Remarks on 07/27/2026: fail
comment: 1.employee information shoulde have alignment with employee profile</x:v>
      </x:c>
      <x:c r="H40" s="33" t="str">
        <x:v>In Scope</x:v>
      </x:c>
      <x:c r="I40" s="33" t="str">
        <x:v>Code fix implemented</x:v>
      </x:c>
      <x:c r="J40" s="30" t="str">
        <x:v>Petty-cash detail uses the authenticated employee department, responsibility centre, account, and total.</x:v>
      </x:c>
      <x:c r="K40" s="30" t="str">
        <x:v>Backend type-check passed; on-prem portal build passed; 75 automated backend tests passed.</x:v>
      </x:c>
      <x:c r="L40" s="33" t="str">
        <x:v>Pending live BC UAT</x:v>
      </x:c>
      <x:c r="M40" s="33" t="str"/>
      <x:c r="N40" s="36" t="str"/>
    </x:row>
    <x:row r="41" ht="21.600000381469727" hidden="0" customHeight="1">
      <x:c r="A41" s="33" t="n">
        <x:v>39</x:v>
      </x:c>
      <x:c r="B41" s="30" t="str">
        <x:v>Petty Cash</x:v>
      </x:c>
      <x:c r="C41" s="30" t="str">
        <x:v>Able to add and show attachments</x:v>
      </x:c>
      <x:c r="D41" s="33" t="str">
        <x:v>mandatory</x:v>
      </x:c>
      <x:c r="E41" s="33" t="str">
        <x:v>Implemented</x:v>
      </x:c>
      <x:c r="F41" s="33" t="str">
        <x:v>pass</x:v>
      </x:c>
      <x:c r="G41" s="30" t="str">
        <x:v>HB Bank Remarks on 07/18/2026: pass
HB Bank Remarks on 07/27/2026: pass</x:v>
      </x:c>
      <x:c r="H41" s="33" t="str">
        <x:v>In Scope</x:v>
      </x:c>
      <x:c r="I41" s="33" t="str">
        <x:v>Bank marked Pass — retained</x:v>
      </x:c>
      <x:c r="J41" s="30" t="str">
        <x:v>Existing Petty Cash workflow retained; no module or navigation removal is included in this release.</x:v>
      </x:c>
      <x:c r="K41" s="30" t="str">
        <x:v>Source workbook is marked Pass; full portal/backend regression build passed.</x:v>
      </x:c>
      <x:c r="L41" s="33" t="str">
        <x:v>Bank source says Pass</x:v>
      </x:c>
      <x:c r="M41" s="33" t="str"/>
      <x:c r="N41" s="36" t="str"/>
    </x:row>
    <x:row r="42" ht="32.400001525878906" hidden="0" customHeight="1">
      <x:c r="A42" s="33" t="n">
        <x:v>40</x:v>
      </x:c>
      <x:c r="B42" s="30" t="str">
        <x:v>Petty Cash</x:v>
      </x:c>
      <x:c r="C42" s="30" t="str">
        <x:v>petty cash limit depend on department</x:v>
      </x:c>
      <x:c r="D42" s="33" t="str">
        <x:v>mandatory</x:v>
      </x:c>
      <x:c r="E42" s="33" t="str">
        <x:v>Implemented</x:v>
      </x:c>
      <x:c r="F42" s="33" t="str">
        <x:v>fail</x:v>
      </x:c>
      <x:c r="G42" s="30" t="str">
        <x:v>HB Bank Remarks on 07/18/2026: fail
HB Bank Remarks on 07/27/2026: fail</x:v>
      </x:c>
      <x:c r="H42" s="33" t="str">
        <x:v>In Scope</x:v>
      </x:c>
      <x:c r="I42" s="33" t="str">
        <x:v>Code fix implemented</x:v>
      </x:c>
      <x:c r="J42" s="30" t="str">
        <x:v>The Business Central department petty-cash limit is displayed and enforced before approval submission; requests above the configured limit are rejected with a clear message.</x:v>
      </x:c>
      <x:c r="K42" s="30" t="str">
        <x:v>Backend type-check passed; on-prem portal build passed; 75 automated backend tests passed.</x:v>
      </x:c>
      <x:c r="L42" s="33" t="str">
        <x:v>Pending live BC UAT</x:v>
      </x:c>
      <x:c r="M42" s="33" t="str"/>
      <x:c r="N42" s="36" t="str"/>
    </x:row>
    <x:row r="43" ht="21.600000381469727" hidden="0" customHeight="1">
      <x:c r="A43" s="33" t="n">
        <x:v>41</x:v>
      </x:c>
      <x:c r="B43" s="30" t="str">
        <x:v>Petty Cash</x:v>
      </x:c>
      <x:c r="C43" s="30" t="str">
        <x:v>Able to Cancel wrong petty cash request (before approval ) at all</x:v>
      </x:c>
      <x:c r="D43" s="33" t="str">
        <x:v>mandatory</x:v>
      </x:c>
      <x:c r="E43" s="33" t="str">
        <x:v>Implemented</x:v>
      </x:c>
      <x:c r="F43" s="33" t="str">
        <x:v>fail</x:v>
      </x:c>
      <x:c r="G43" s="30" t="str">
        <x:v>HB Bank Remarks on 07/18/2026: fail
HB Bank Remarks on 07/27/2026: fail</x:v>
      </x:c>
      <x:c r="H43" s="33" t="str">
        <x:v>In Scope</x:v>
      </x:c>
      <x:c r="I43" s="33" t="str">
        <x:v>Code fix implemented</x:v>
      </x:c>
      <x:c r="J43" s="30" t="str">
        <x:v>A wrong petty-cash request can be cancelled before approval.</x:v>
      </x:c>
      <x:c r="K43" s="30" t="str">
        <x:v>Backend type-check passed; on-prem portal build passed; 75 automated backend tests passed.</x:v>
      </x:c>
      <x:c r="L43" s="33" t="str">
        <x:v>Pending live BC UAT</x:v>
      </x:c>
      <x:c r="M43" s="33" t="str"/>
      <x:c r="N43" s="36" t="str"/>
    </x:row>
    <x:row r="44" ht="21.600000381469727" hidden="0" customHeight="1">
      <x:c r="A44" s="33" t="n">
        <x:v>42</x:v>
      </x:c>
      <x:c r="B44" s="30" t="str">
        <x:v>Petty Cash</x:v>
      </x:c>
      <x:c r="C44" s="30" t="str">
        <x:v>Able to add multiple Petty cash Lines</x:v>
      </x:c>
      <x:c r="D44" s="33" t="str">
        <x:v>mandatory</x:v>
      </x:c>
      <x:c r="E44" s="33" t="str">
        <x:v>Implemented</x:v>
      </x:c>
      <x:c r="F44" s="33" t="str">
        <x:v>pass</x:v>
      </x:c>
      <x:c r="G44" s="30" t="str">
        <x:v>HB Bank Remarks on 07/18/2026: pass
HB Bank Remarks on 07/27/2026: pass</x:v>
      </x:c>
      <x:c r="H44" s="33" t="str">
        <x:v>In Scope</x:v>
      </x:c>
      <x:c r="I44" s="33" t="str">
        <x:v>Bank marked Pass — retained</x:v>
      </x:c>
      <x:c r="J44" s="30" t="str">
        <x:v>Existing Petty Cash workflow retained; no module or navigation removal is included in this release.</x:v>
      </x:c>
      <x:c r="K44" s="30" t="str">
        <x:v>Source workbook is marked Pass; full portal/backend regression build passed.</x:v>
      </x:c>
      <x:c r="L44" s="33" t="str">
        <x:v>Bank source says Pass</x:v>
      </x:c>
      <x:c r="M44" s="33" t="str"/>
      <x:c r="N44" s="36" t="str"/>
    </x:row>
    <x:row r="45" ht="21.600000381469727" hidden="0" customHeight="1">
      <x:c r="A45" s="33" t="n">
        <x:v>43</x:v>
      </x:c>
      <x:c r="B45" s="30" t="str">
        <x:v>Petty Cash</x:v>
      </x:c>
      <x:c r="C45" s="30" t="str">
        <x:v>Able to send Petty cash request for Approval</x:v>
      </x:c>
      <x:c r="D45" s="33" t="str">
        <x:v>mandatory</x:v>
      </x:c>
      <x:c r="E45" s="33" t="str">
        <x:v>Implemented</x:v>
      </x:c>
      <x:c r="F45" s="33" t="str">
        <x:v>pass</x:v>
      </x:c>
      <x:c r="G45" s="30" t="str">
        <x:v>HB Bank Remarks on 07/18/2026: fail
HB Bank Remarks on 07/27/2026: pass</x:v>
      </x:c>
      <x:c r="H45" s="33" t="str">
        <x:v>In Scope</x:v>
      </x:c>
      <x:c r="I45" s="33" t="str">
        <x:v>Bank marked Pass — retained</x:v>
      </x:c>
      <x:c r="J45" s="30" t="str">
        <x:v>Existing Petty Cash workflow retained; no module or navigation removal is included in this release.</x:v>
      </x:c>
      <x:c r="K45" s="30" t="str">
        <x:v>Source workbook is marked Pass; full portal/backend regression build passed.</x:v>
      </x:c>
      <x:c r="L45" s="33" t="str">
        <x:v>Bank source says Pass</x:v>
      </x:c>
      <x:c r="M45" s="33" t="str"/>
      <x:c r="N45" s="36" t="str"/>
    </x:row>
    <x:row r="46" ht="32.400001525878906" hidden="0" customHeight="1">
      <x:c r="A46" s="34" t="n">
        <x:v>44</x:v>
      </x:c>
      <x:c r="B46" s="31" t="str">
        <x:v>Petty Cash</x:v>
      </x:c>
      <x:c r="C46" s="31" t="str">
        <x:v>1.petty cash repleshiment is used for request petty cash so rename by petty cash request 2.petty cash request is used for settlement so rename by petty cash settlement</x:v>
      </x:c>
      <x:c r="D46" s="34" t="str"/>
      <x:c r="E46" s="34" t="str">
        <x:v>Implemented</x:v>
      </x:c>
      <x:c r="F46" s="34" t="str">
        <x:v>pass</x:v>
      </x:c>
      <x:c r="G46" s="31" t="str">
        <x:v>HB Bank Remarks on 07/27/2026: pass</x:v>
      </x:c>
      <x:c r="H46" s="34" t="str">
        <x:v>In Scope</x:v>
      </x:c>
      <x:c r="I46" s="34" t="str">
        <x:v>Bank marked Pass — retained</x:v>
      </x:c>
      <x:c r="J46" s="31" t="str">
        <x:v>Existing Petty Cash workflow retained; no module or navigation removal is included in this release.</x:v>
      </x:c>
      <x:c r="K46" s="31" t="str">
        <x:v>Source workbook is marked Pass; full portal/backend regression build passed.</x:v>
      </x:c>
      <x:c r="L46" s="34" t="str">
        <x:v>Bank source says Pass</x:v>
      </x:c>
      <x:c r="M46" s="34" t="str"/>
      <x:c r="N46" s="37" t="str"/>
    </x:row>
  </x:sheetData>
  <x:mergeCells>
    <x:mergeCell ref="A1:N1"/>
    <x:mergeCell ref="A2:N2"/>
    <x:mergeCell ref="A3:N3"/>
  </x:mergeCells>
  <x:conditionalFormatting sqref="I5:I46">
    <x:cfRule type="containsText" dxfId="5" priority="1" operator="containsText" text="fix implemented"/>
    <x:cfRule type="containsText" dxfId="6" priority="2" operator="containsText" text="Out of Scope"/>
  </x:conditionalFormatting>
  <x:conditionalFormatting sqref="L5:L46">
    <x:cfRule type="containsText" dxfId="7" priority="3" operator="containsText" text="Pending"/>
    <x:cfRule type="containsText" dxfId="8" priority="4" operator="containsText" text="Pass"/>
    <x:cfRule type="containsText" dxfId="9" priority="5" operator="containsText" text="Fail"/>
  </x:conditionalFormatting>
  <x:dataValidations count="1">
    <x:dataValidation type="list" sqref="L5:L46">
      <x:formula1>"Pending live BC UAT,Pass,Fail,Blocked,Not Required,Bank source says Pass"</x:formula1>
    </x:dataValidation>
  </x:dataValidations>
  <x:pageMargins left="0.7" right="0.7" top="0.75" bottom="0.75" header="0.3" footer="0.3"/>
  <x:tableParts count="1">
    <x:tablePart xmlns:r="http://schemas.openxmlformats.org/officeDocument/2006/relationships" r:id="Rf7459c395d7e4eb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22" hidden="0" customWidth="1"/>
    <x:col min="3" max="3" width="42" hidden="0" customWidth="1"/>
    <x:col min="4" max="4" width="18" hidden="0" customWidth="1"/>
    <x:col min="5" max="5" width="19" hidden="0" customWidth="1"/>
    <x:col min="6" max="6" width="16" hidden="0" customWidth="1"/>
    <x:col min="7" max="7" width="48" hidden="0" customWidth="1"/>
    <x:col min="8" max="8" width="14" hidden="0" customWidth="1"/>
    <x:col min="9" max="9" width="24" hidden="0" customWidth="1"/>
    <x:col min="10" max="10" width="52" hidden="0" customWidth="1"/>
    <x:col min="11" max="11" width="42" hidden="0" customWidth="1"/>
    <x:col min="12" max="12" width="21" hidden="0" customWidth="1"/>
    <x:col min="13" max="13" width="18" hidden="0" customWidth="1"/>
    <x:col min="14" max="14" width="14" hidden="0" customWidth="1"/>
  </x:cols>
  <x:sheetData>
    <x:row r="1" ht="30" customHeight="1">
      <x:c r="A1" s="3" t="str">
        <x:v>HIJRA SSP FACILITY — Row-by-row UAT evidence</x:v>
      </x:c>
      <x:c r="B1" s="3"/>
      <x:c r="C1" s="3"/>
      <x:c r="D1" s="3"/>
      <x:c r="E1" s="3"/>
      <x:c r="F1" s="3"/>
      <x:c r="G1" s="3"/>
      <x:c r="H1" s="3"/>
      <x:c r="I1" s="3"/>
      <x:c r="J1" s="3"/>
      <x:c r="K1" s="3"/>
      <x:c r="L1" s="3"/>
      <x:c r="M1" s="3"/>
      <x:c r="N1" s="3"/>
    </x:row>
    <x:row r="2" ht="23" customHeight="1">
      <x:c r="A2" s="6" t="str">
        <x:v>Source: /Users/abhishekbehera/Downloads/SSP Facility HB July 21 2026.xlsx</x:v>
      </x:c>
      <x:c r="B2" s="6"/>
      <x:c r="C2" s="6"/>
      <x:c r="D2" s="6"/>
      <x:c r="E2" s="6"/>
      <x:c r="F2" s="6"/>
      <x:c r="G2" s="6"/>
      <x:c r="H2" s="6"/>
      <x:c r="I2" s="6"/>
      <x:c r="J2" s="6"/>
      <x:c r="K2" s="6"/>
      <x:c r="L2" s="6"/>
      <x:c r="M2" s="6"/>
      <x:c r="N2" s="6"/>
    </x:row>
    <x:row r="3" ht="34" customHeight="1">
      <x:c r="A3" s="10" t="str">
        <x:v>Important: “Code fix implemented” means the local source/build checks passed. Enter Pass only after publishing the AL app and portal, then retesting against live Business Central.</x:v>
      </x:c>
      <x:c r="B3" s="10"/>
      <x:c r="C3" s="10"/>
      <x:c r="D3" s="10"/>
      <x:c r="E3" s="10"/>
      <x:c r="F3" s="10"/>
      <x:c r="G3" s="10"/>
      <x:c r="H3" s="10"/>
      <x:c r="I3" s="10"/>
      <x:c r="J3" s="10"/>
      <x:c r="K3" s="10"/>
      <x:c r="L3" s="10"/>
      <x:c r="M3" s="10"/>
      <x:c r="N3" s="10"/>
    </x:row>
    <x:row r="4" ht="34" customHeight="1">
      <x:c r="A4" s="19" t="str">
        <x:v>Excel Row</x:v>
      </x:c>
      <x:c r="B4" s="20" t="str">
        <x:v>Sub-module</x:v>
      </x:c>
      <x:c r="C4" s="20" t="str">
        <x:v>Test Case / Details</x:v>
      </x:c>
      <x:c r="D4" s="20" t="str">
        <x:v>Requirement / Priority</x:v>
      </x:c>
      <x:c r="E4" s="20" t="str">
        <x:v>Latest TA Remark</x:v>
      </x:c>
      <x:c r="F4" s="20" t="str">
        <x:v>Latest HB Status</x:v>
      </x:c>
      <x:c r="G4" s="20" t="str">
        <x:v>All HB Remarks / Comments</x:v>
      </x:c>
      <x:c r="H4" s="20" t="str">
        <x:v>Scope</x:v>
      </x:c>
      <x:c r="I4" s="20" t="str">
        <x:v>Release Assessment</x:v>
      </x:c>
      <x:c r="J4" s="20" t="str">
        <x:v>Implementation / Evidence</x:v>
      </x:c>
      <x:c r="K4" s="20" t="str">
        <x:v>Verification Performed</x:v>
      </x:c>
      <x:c r="L4" s="20" t="str">
        <x:v>Live UAT Retest</x:v>
      </x:c>
      <x:c r="M4" s="20" t="str">
        <x:v>UAT Tester</x:v>
      </x:c>
      <x:c r="N4" s="21" t="str">
        <x:v>UAT Date</x:v>
      </x:c>
    </x:row>
    <x:row r="5" ht="21.600000381469727" hidden="0" customHeight="1">
      <x:c r="A5" s="32" t="n">
        <x:v>3</x:v>
      </x:c>
      <x:c r="B5" s="29" t="str">
        <x:v>Purchases</x:v>
      </x:c>
      <x:c r="C5" s="29" t="str">
        <x:v>Able to create new Purchase requisition</x:v>
      </x:c>
      <x:c r="D5" s="32" t="str">
        <x:v>Mandatory</x:v>
      </x:c>
      <x:c r="E5" s="32" t="str">
        <x:v>Implemented</x:v>
      </x:c>
      <x:c r="F5" s="32" t="str">
        <x:v>pass</x:v>
      </x:c>
      <x:c r="G5" s="29" t="str">
        <x:v>HB Remarks: pass</x:v>
      </x:c>
      <x:c r="H5" s="32" t="str">
        <x:v>In Scope</x:v>
      </x:c>
      <x:c r="I5" s="32" t="str">
        <x:v>Bank marked Pass — retained</x:v>
      </x:c>
      <x:c r="J5" s="29" t="str">
        <x:v>Existing Purchases workflow retained; no module or navigation removal is included in this release.</x:v>
      </x:c>
      <x:c r="K5" s="29" t="str">
        <x:v>Source workbook is marked Pass; full portal/backend regression build passed.</x:v>
      </x:c>
      <x:c r="L5" s="32" t="str">
        <x:v>Bank source says Pass</x:v>
      </x:c>
      <x:c r="M5" s="32" t="str"/>
      <x:c r="N5" s="35" t="str"/>
    </x:row>
    <x:row r="6" ht="54" hidden="0" customHeight="1">
      <x:c r="A6" s="33" t="n">
        <x:v>4</x:v>
      </x:c>
      <x:c r="B6" s="30" t="str">
        <x:v>Purchases</x:v>
      </x:c>
      <x:c r="C6" s="30" t="str">
        <x:v>Abel to add specificiton of item FA/Service</x:v>
      </x:c>
      <x:c r="D6" s="33" t="str">
        <x:v>Mandatory</x:v>
      </x:c>
      <x:c r="E6" s="33" t="str">
        <x:v>Implemented</x:v>
      </x:c>
      <x:c r="F6" s="33" t="str">
        <x:v>fail</x:v>
      </x:c>
      <x:c r="G6" s="30" t="str">
        <x:v>HB Remarks: fail
Remark: we can add the specification but generate as discription &amp; no attached specification documents
Legacy Excel comment: Tesfaye Tolcha Gemeda: we can add the specification but generate as description &amp; no attached specification documents</x:v>
      </x:c>
      <x:c r="H6" s="33" t="str">
        <x:v>In Scope</x:v>
      </x:c>
      <x:c r="I6" s="33" t="str">
        <x:v>Code fix implemented</x:v>
      </x:c>
      <x:c r="J6" s="30" t="str">
        <x:v>Purchase lines expose Specification / Description and purchase attachments accept specification documents.</x:v>
      </x:c>
      <x:c r="K6" s="30" t="str">
        <x:v>Backend type-check passed; on-prem portal build passed; 75 automated backend tests passed.</x:v>
      </x:c>
      <x:c r="L6" s="33" t="str">
        <x:v>Pending live BC UAT</x:v>
      </x:c>
      <x:c r="M6" s="33" t="str"/>
      <x:c r="N6" s="36" t="str"/>
    </x:row>
    <x:row r="7" ht="21.600000381469727" hidden="0" customHeight="1">
      <x:c r="A7" s="33" t="n">
        <x:v>5</x:v>
      </x:c>
      <x:c r="B7" s="30" t="str">
        <x:v>Purchases</x:v>
      </x:c>
      <x:c r="C7" s="30" t="str">
        <x:v>Able to add multiple line</x:v>
      </x:c>
      <x:c r="D7" s="33" t="str">
        <x:v>Mandatory</x:v>
      </x:c>
      <x:c r="E7" s="33" t="str">
        <x:v>Implemented</x:v>
      </x:c>
      <x:c r="F7" s="33" t="str">
        <x:v>pass</x:v>
      </x:c>
      <x:c r="G7" s="30" t="str">
        <x:v>HB Remarks: pass</x:v>
      </x:c>
      <x:c r="H7" s="33" t="str">
        <x:v>In Scope</x:v>
      </x:c>
      <x:c r="I7" s="33" t="str">
        <x:v>Bank marked Pass — retained</x:v>
      </x:c>
      <x:c r="J7" s="30" t="str">
        <x:v>Existing Purchases workflow retained; no module or navigation removal is included in this release.</x:v>
      </x:c>
      <x:c r="K7" s="30" t="str">
        <x:v>Source workbook is marked Pass; full portal/backend regression build passed.</x:v>
      </x:c>
      <x:c r="L7" s="33" t="str">
        <x:v>Bank source says Pass</x:v>
      </x:c>
      <x:c r="M7" s="33" t="str"/>
      <x:c r="N7" s="36" t="str"/>
    </x:row>
    <x:row r="8" ht="21.600000381469727" hidden="0" customHeight="1">
      <x:c r="A8" s="33" t="n">
        <x:v>6</x:v>
      </x:c>
      <x:c r="B8" s="30" t="str">
        <x:v>Purchases</x:v>
      </x:c>
      <x:c r="C8" s="30" t="str">
        <x:v>Able to send request for Approval</x:v>
      </x:c>
      <x:c r="D8" s="33" t="str">
        <x:v>Mandatory</x:v>
      </x:c>
      <x:c r="E8" s="33" t="str">
        <x:v>Implemented</x:v>
      </x:c>
      <x:c r="F8" s="33" t="str">
        <x:v>pass</x:v>
      </x:c>
      <x:c r="G8" s="30" t="str">
        <x:v>HB Remarks: pass</x:v>
      </x:c>
      <x:c r="H8" s="33" t="str">
        <x:v>In Scope</x:v>
      </x:c>
      <x:c r="I8" s="33" t="str">
        <x:v>Bank marked Pass — retained</x:v>
      </x:c>
      <x:c r="J8" s="30" t="str">
        <x:v>Existing Purchases workflow retained; no module or navigation removal is included in this release.</x:v>
      </x:c>
      <x:c r="K8" s="30" t="str">
        <x:v>Source workbook is marked Pass; full portal/backend regression build passed.</x:v>
      </x:c>
      <x:c r="L8" s="33" t="str">
        <x:v>Bank source says Pass</x:v>
      </x:c>
      <x:c r="M8" s="33" t="str"/>
      <x:c r="N8" s="36" t="str"/>
    </x:row>
    <x:row r="9" ht="43.20000076293945" hidden="0" customHeight="1">
      <x:c r="A9" s="33" t="n">
        <x:v>7</x:v>
      </x:c>
      <x:c r="B9" s="30" t="str">
        <x:v>Purchases</x:v>
      </x:c>
      <x:c r="C9" s="30" t="str">
        <x:v>Able cancel purchase approval request</x:v>
      </x:c>
      <x:c r="D9" s="33" t="str">
        <x:v>Mandatory</x:v>
      </x:c>
      <x:c r="E9" s="33" t="str">
        <x:v>Implemented</x:v>
      </x:c>
      <x:c r="F9" s="33" t="str">
        <x:v>pass</x:v>
      </x:c>
      <x:c r="G9" s="30" t="str">
        <x:v>HB Remarks: pass
Remark: the PR at approver side cahanged to Purchase Qote
Legacy Excel comment: Tesfaye Tolcha Gemeda: approver cannot see the request</x:v>
      </x:c>
      <x:c r="H9" s="33" t="str">
        <x:v>In Scope</x:v>
      </x:c>
      <x:c r="I9" s="33" t="str">
        <x:v>Comment-driven fix implemented</x:v>
      </x:c>
      <x:c r="J9" s="30" t="str">
        <x:v>Purchase requisition approval cancellation stays mapped to the PR document instead of a Purchase Quote.</x:v>
      </x:c>
      <x:c r="K9" s="30" t="str">
        <x:v>Backend type-check passed; on-prem portal build passed; 75 automated backend tests passed.</x:v>
      </x:c>
      <x:c r="L9" s="33" t="str">
        <x:v>Pending live BC UAT</x:v>
      </x:c>
      <x:c r="M9" s="33" t="str"/>
      <x:c r="N9" s="36" t="str"/>
    </x:row>
    <x:row r="10" ht="43.20000076293945" hidden="0" customHeight="1">
      <x:c r="A10" s="33" t="n">
        <x:v>8</x:v>
      </x:c>
      <x:c r="B10" s="30" t="str">
        <x:v>Purchases</x:v>
      </x:c>
      <x:c r="C10" s="30" t="str">
        <x:v>Abel to see pending purchase reuqest</x:v>
      </x:c>
      <x:c r="D10" s="33" t="str">
        <x:v>Mandatory</x:v>
      </x:c>
      <x:c r="E10" s="33" t="str">
        <x:v>Implemented</x:v>
      </x:c>
      <x:c r="F10" s="33" t="str">
        <x:v>pass</x:v>
      </x:c>
      <x:c r="G10" s="30" t="str">
        <x:v>HB Remarks: pass
Remark: the PR at approver side cahanged to Purchase Qote
Legacy Excel comment: Tesfaye Tolcha Gemeda: approver cannot see the PR; it appears as Purchase Quote and details change</x:v>
      </x:c>
      <x:c r="H10" s="33" t="str">
        <x:v>In Scope</x:v>
      </x:c>
      <x:c r="I10" s="33" t="str">
        <x:v>Comment-driven fix implemented</x:v>
      </x:c>
      <x:c r="J10" s="30" t="str">
        <x:v>Pending Purchase Requisition approval detail is read through the PR mapping, not the Purchase Quote presentation.</x:v>
      </x:c>
      <x:c r="K10" s="30" t="str">
        <x:v>Backend type-check passed; on-prem portal build passed; 75 automated backend tests passed.</x:v>
      </x:c>
      <x:c r="L10" s="33" t="str">
        <x:v>Pending live BC UAT</x:v>
      </x:c>
      <x:c r="M10" s="33" t="str"/>
      <x:c r="N10" s="36" t="str"/>
    </x:row>
    <x:row r="11" ht="43.20000076293945" hidden="0" customHeight="1">
      <x:c r="A11" s="33" t="n">
        <x:v>9</x:v>
      </x:c>
      <x:c r="B11" s="30" t="str">
        <x:v>Purchases</x:v>
      </x:c>
      <x:c r="C11" s="30" t="str">
        <x:v>Abel to approve pending request</x:v>
      </x:c>
      <x:c r="D11" s="33" t="str">
        <x:v>Mandatory</x:v>
      </x:c>
      <x:c r="E11" s="33" t="str">
        <x:v>Implemented</x:v>
      </x:c>
      <x:c r="F11" s="33" t="str">
        <x:v>pass</x:v>
      </x:c>
      <x:c r="G11" s="30" t="str">
        <x:v>HB Remarks: pass
Remark: the PR at approver side cahanged to Purchase Qote
Legacy Excel comment: Tesfaye Tolcha Gemeda: approver cannot see the PR; it appears as Purchase Quote and details change</x:v>
      </x:c>
      <x:c r="H11" s="33" t="str">
        <x:v>In Scope</x:v>
      </x:c>
      <x:c r="I11" s="33" t="str">
        <x:v>Comment-driven fix implemented</x:v>
      </x:c>
      <x:c r="J11" s="30" t="str">
        <x:v>Purchase Requisition approval actions retain the PR number, lines, requester, and attachment context.</x:v>
      </x:c>
      <x:c r="K11" s="30" t="str">
        <x:v>Backend type-check passed; on-prem portal build passed; 75 automated backend tests passed.</x:v>
      </x:c>
      <x:c r="L11" s="33" t="str">
        <x:v>Pending live BC UAT</x:v>
      </x:c>
      <x:c r="M11" s="33" t="str"/>
      <x:c r="N11" s="36" t="str"/>
    </x:row>
    <x:row r="12" ht="21.600000381469727" hidden="0" customHeight="1">
      <x:c r="A12" s="33" t="n">
        <x:v>10</x:v>
      </x:c>
      <x:c r="B12" s="30" t="str">
        <x:v>Purchases</x:v>
      </x:c>
      <x:c r="C12" s="30" t="str">
        <x:v>Abel to Generate purchase requisitons report</x:v>
      </x:c>
      <x:c r="D12" s="33" t="str">
        <x:v>Mandatory</x:v>
      </x:c>
      <x:c r="E12" s="33" t="str">
        <x:v>Not in SSP, It should generate from ERP</x:v>
      </x:c>
      <x:c r="F12" s="33" t="str">
        <x:v>fail</x:v>
      </x:c>
      <x:c r="G12" s="30" t="str">
        <x:v>HB Remarks: fail
Remark: requisitor cant see the detail of the requested item at SSP</x:v>
      </x:c>
      <x:c r="H12" s="33" t="str">
        <x:v>In Scope</x:v>
      </x:c>
      <x:c r="I12" s="33" t="str">
        <x:v>Code fix implemented</x:v>
      </x:c>
      <x:c r="J12" s="30" t="str">
        <x:v>Requester detail includes purchase lines and specifications; the formal printable report remains an ERP output.</x:v>
      </x:c>
      <x:c r="K12" s="30" t="str">
        <x:v>Backend type-check passed; on-prem portal build passed; 75 automated backend tests passed.</x:v>
      </x:c>
      <x:c r="L12" s="33" t="str">
        <x:v>Pending live BC UAT</x:v>
      </x:c>
      <x:c r="M12" s="33" t="str"/>
      <x:c r="N12" s="36" t="str"/>
    </x:row>
    <x:row r="13" ht="21.600000381469727" hidden="0" customHeight="1">
      <x:c r="A13" s="33" t="n">
        <x:v>11</x:v>
      </x:c>
      <x:c r="B13" s="30" t="str">
        <x:v>Stores</x:v>
      </x:c>
      <x:c r="C13" s="30" t="str">
        <x:v>Able to create new store request</x:v>
      </x:c>
      <x:c r="D13" s="33" t="str">
        <x:v>Mandatory</x:v>
      </x:c>
      <x:c r="E13" s="33" t="str">
        <x:v>Implemented</x:v>
      </x:c>
      <x:c r="F13" s="33" t="str">
        <x:v>pass</x:v>
      </x:c>
      <x:c r="G13" s="30" t="str">
        <x:v>HB Remarks: pass</x:v>
      </x:c>
      <x:c r="H13" s="33" t="str">
        <x:v>In Scope</x:v>
      </x:c>
      <x:c r="I13" s="33" t="str">
        <x:v>Bank marked Pass — retained</x:v>
      </x:c>
      <x:c r="J13" s="30" t="str">
        <x:v>Existing Stores workflow retained; no module or navigation removal is included in this release.</x:v>
      </x:c>
      <x:c r="K13" s="30" t="str">
        <x:v>Source workbook is marked Pass; full portal/backend regression build passed.</x:v>
      </x:c>
      <x:c r="L13" s="33" t="str">
        <x:v>Bank source says Pass</x:v>
      </x:c>
      <x:c r="M13" s="33" t="str"/>
      <x:c r="N13" s="36" t="str"/>
    </x:row>
    <x:row r="14" ht="21.600000381469727" hidden="0" customHeight="1">
      <x:c r="A14" s="33" t="n">
        <x:v>12</x:v>
      </x:c>
      <x:c r="B14" s="30" t="str">
        <x:v>Stores</x:v>
      </x:c>
      <x:c r="C14" s="30" t="str">
        <x:v>Able to check item availability</x:v>
      </x:c>
      <x:c r="D14" s="33" t="str">
        <x:v>Mandatory</x:v>
      </x:c>
      <x:c r="E14" s="33" t="str">
        <x:v>Implemented</x:v>
      </x:c>
      <x:c r="F14" s="33" t="str">
        <x:v>pass</x:v>
      </x:c>
      <x:c r="G14" s="30" t="str">
        <x:v>HB Remarks: pass</x:v>
      </x:c>
      <x:c r="H14" s="33" t="str">
        <x:v>In Scope</x:v>
      </x:c>
      <x:c r="I14" s="33" t="str">
        <x:v>Bank marked Pass — retained</x:v>
      </x:c>
      <x:c r="J14" s="30" t="str">
        <x:v>Existing Stores workflow retained; no module or navigation removal is included in this release.</x:v>
      </x:c>
      <x:c r="K14" s="30" t="str">
        <x:v>Source workbook is marked Pass; full portal/backend regression build passed.</x:v>
      </x:c>
      <x:c r="L14" s="33" t="str">
        <x:v>Bank source says Pass</x:v>
      </x:c>
      <x:c r="M14" s="33" t="str"/>
      <x:c r="N14" s="36" t="str"/>
    </x:row>
    <x:row r="15" ht="21.600000381469727" hidden="0" customHeight="1">
      <x:c r="A15" s="33" t="n">
        <x:v>13</x:v>
      </x:c>
      <x:c r="B15" s="30" t="str">
        <x:v>Stores</x:v>
      </x:c>
      <x:c r="C15" s="30" t="str">
        <x:v>Able to show issued stock</x:v>
      </x:c>
      <x:c r="D15" s="33" t="str">
        <x:v>Mandatory</x:v>
      </x:c>
      <x:c r="E15" s="33" t="str">
        <x:v>Implemented</x:v>
      </x:c>
      <x:c r="F15" s="33" t="str">
        <x:v>pass</x:v>
      </x:c>
      <x:c r="G15" s="30" t="str">
        <x:v>HB Remarks: pass</x:v>
      </x:c>
      <x:c r="H15" s="33" t="str">
        <x:v>In Scope</x:v>
      </x:c>
      <x:c r="I15" s="33" t="str">
        <x:v>Bank marked Pass — retained</x:v>
      </x:c>
      <x:c r="J15" s="30" t="str">
        <x:v>Existing Stores workflow retained; no module or navigation removal is included in this release.</x:v>
      </x:c>
      <x:c r="K15" s="30" t="str">
        <x:v>Source workbook is marked Pass; full portal/backend regression build passed.</x:v>
      </x:c>
      <x:c r="L15" s="33" t="str">
        <x:v>Bank source says Pass</x:v>
      </x:c>
      <x:c r="M15" s="33" t="str"/>
      <x:c r="N15" s="36" t="str"/>
    </x:row>
    <x:row r="16" ht="21.600000381469727" hidden="0" customHeight="1">
      <x:c r="A16" s="33" t="n">
        <x:v>14</x:v>
      </x:c>
      <x:c r="B16" s="30" t="str">
        <x:v>Stores</x:v>
      </x:c>
      <x:c r="C16" s="30" t="str">
        <x:v>Able to add more Store requisition line</x:v>
      </x:c>
      <x:c r="D16" s="33" t="str">
        <x:v>Mandatory</x:v>
      </x:c>
      <x:c r="E16" s="33" t="str">
        <x:v>Implemented</x:v>
      </x:c>
      <x:c r="F16" s="33" t="str">
        <x:v>pass</x:v>
      </x:c>
      <x:c r="G16" s="30" t="str">
        <x:v>HB Remarks: pass</x:v>
      </x:c>
      <x:c r="H16" s="33" t="str">
        <x:v>In Scope</x:v>
      </x:c>
      <x:c r="I16" s="33" t="str">
        <x:v>Bank marked Pass — retained</x:v>
      </x:c>
      <x:c r="J16" s="30" t="str">
        <x:v>Existing Stores workflow retained; no module or navigation removal is included in this release.</x:v>
      </x:c>
      <x:c r="K16" s="30" t="str">
        <x:v>Source workbook is marked Pass; full portal/backend regression build passed.</x:v>
      </x:c>
      <x:c r="L16" s="33" t="str">
        <x:v>Bank source says Pass</x:v>
      </x:c>
      <x:c r="M16" s="33" t="str"/>
      <x:c r="N16" s="36" t="str"/>
    </x:row>
    <x:row r="17" ht="32.400001525878906" hidden="0" customHeight="1">
      <x:c r="A17" s="33" t="n">
        <x:v>15</x:v>
      </x:c>
      <x:c r="B17" s="30" t="str">
        <x:v>Stores</x:v>
      </x:c>
      <x:c r="C17" s="30" t="str">
        <x:v>Abel to get receiptient confirmation of received from requisitor</x:v>
      </x:c>
      <x:c r="D17" s="33" t="str">
        <x:v>Mandatory</x:v>
      </x:c>
      <x:c r="E17" s="33" t="str">
        <x:v>Implemented</x:v>
      </x:c>
      <x:c r="F17" s="33" t="str">
        <x:v>fail</x:v>
      </x:c>
      <x:c r="G17" s="30" t="str">
        <x:v>HB Remarks: fail
Remark: not generate confirmation/request for confirmation for the requested item</x:v>
      </x:c>
      <x:c r="H17" s="33" t="str">
        <x:v>In Scope</x:v>
      </x:c>
      <x:c r="I17" s="33" t="str">
        <x:v>Code fix implemented</x:v>
      </x:c>
      <x:c r="J17" s="30" t="str">
        <x:v>Store requisition supports recipient receive confirmation against issued quantities.</x:v>
      </x:c>
      <x:c r="K17" s="30" t="str">
        <x:v>Backend type-check passed; on-prem portal build passed; 75 automated backend tests passed.</x:v>
      </x:c>
      <x:c r="L17" s="33" t="str">
        <x:v>Pending live BC UAT</x:v>
      </x:c>
      <x:c r="M17" s="33" t="str"/>
      <x:c r="N17" s="36" t="str"/>
    </x:row>
    <x:row r="18" ht="21.600000381469727" hidden="0" customHeight="1">
      <x:c r="A18" s="33" t="n">
        <x:v>16</x:v>
      </x:c>
      <x:c r="B18" s="30" t="str">
        <x:v>Stores</x:v>
      </x:c>
      <x:c r="C18" s="30" t="str">
        <x:v>Able to send store requisition for approval</x:v>
      </x:c>
      <x:c r="D18" s="33" t="str">
        <x:v>Mandatory</x:v>
      </x:c>
      <x:c r="E18" s="33" t="str">
        <x:v>Implemented</x:v>
      </x:c>
      <x:c r="F18" s="33" t="str">
        <x:v>pass</x:v>
      </x:c>
      <x:c r="G18" s="30" t="str">
        <x:v>HB Remarks: pass</x:v>
      </x:c>
      <x:c r="H18" s="33" t="str">
        <x:v>In Scope</x:v>
      </x:c>
      <x:c r="I18" s="33" t="str">
        <x:v>Bank marked Pass — retained</x:v>
      </x:c>
      <x:c r="J18" s="30" t="str">
        <x:v>Existing Stores workflow retained; no module or navigation removal is included in this release.</x:v>
      </x:c>
      <x:c r="K18" s="30" t="str">
        <x:v>Source workbook is marked Pass; full portal/backend regression build passed.</x:v>
      </x:c>
      <x:c r="L18" s="33" t="str">
        <x:v>Bank source says Pass</x:v>
      </x:c>
      <x:c r="M18" s="33" t="str"/>
      <x:c r="N18" s="36" t="str"/>
    </x:row>
    <x:row r="19" ht="21.600000381469727" hidden="0" customHeight="1">
      <x:c r="A19" s="33" t="n">
        <x:v>17</x:v>
      </x:c>
      <x:c r="B19" s="30" t="str">
        <x:v>Stores</x:v>
      </x:c>
      <x:c r="C19" s="30" t="str">
        <x:v>Abel to see pending store requisiton for apprval</x:v>
      </x:c>
      <x:c r="D19" s="33" t="str">
        <x:v>Mandatory</x:v>
      </x:c>
      <x:c r="E19" s="33" t="str">
        <x:v>Implemented</x:v>
      </x:c>
      <x:c r="F19" s="33" t="str">
        <x:v>pass</x:v>
      </x:c>
      <x:c r="G19" s="30" t="str">
        <x:v>HB Remarks: pass</x:v>
      </x:c>
      <x:c r="H19" s="33" t="str">
        <x:v>In Scope</x:v>
      </x:c>
      <x:c r="I19" s="33" t="str">
        <x:v>Bank marked Pass — retained</x:v>
      </x:c>
      <x:c r="J19" s="30" t="str">
        <x:v>Existing Stores workflow retained; no module or navigation removal is included in this release.</x:v>
      </x:c>
      <x:c r="K19" s="30" t="str">
        <x:v>Source workbook is marked Pass; full portal/backend regression build passed.</x:v>
      </x:c>
      <x:c r="L19" s="33" t="str">
        <x:v>Bank source says Pass</x:v>
      </x:c>
      <x:c r="M19" s="33" t="str"/>
      <x:c r="N19" s="36" t="str"/>
    </x:row>
    <x:row r="20" ht="32.400001525878906" hidden="0" customHeight="1">
      <x:c r="A20" s="33" t="n">
        <x:v>18</x:v>
      </x:c>
      <x:c r="B20" s="30" t="str">
        <x:v>Stores</x:v>
      </x:c>
      <x:c r="C20" s="30" t="str">
        <x:v>Abel to Generate store requisitons report</x:v>
      </x:c>
      <x:c r="D20" s="33" t="str">
        <x:v>Mandatory</x:v>
      </x:c>
      <x:c r="E20" s="33" t="str">
        <x:v>Not in SSP, It should generate from ERP</x:v>
      </x:c>
      <x:c r="F20" s="33" t="str">
        <x:v>fail</x:v>
      </x:c>
      <x:c r="G20" s="30" t="str">
        <x:v>HB Remarks: fail
Remark: what about the requisitor the requisitor needs to see the detail request against issue</x:v>
      </x:c>
      <x:c r="H20" s="33" t="str">
        <x:v>In Scope</x:v>
      </x:c>
      <x:c r="I20" s="33" t="str">
        <x:v>Code fix implemented</x:v>
      </x:c>
      <x:c r="J20" s="30" t="str">
        <x:v>Store detail shows requested, issued, received, and outstanding quantities.</x:v>
      </x:c>
      <x:c r="K20" s="30" t="str">
        <x:v>Backend type-check passed; on-prem portal build passed; 75 automated backend tests passed.</x:v>
      </x:c>
      <x:c r="L20" s="33" t="str">
        <x:v>Pending live BC UAT</x:v>
      </x:c>
      <x:c r="M20" s="33" t="str"/>
      <x:c r="N20" s="36" t="str"/>
    </x:row>
    <x:row r="21" ht="21.600000381469727" hidden="0" customHeight="1">
      <x:c r="A21" s="33" t="n">
        <x:v>19</x:v>
      </x:c>
      <x:c r="B21" s="30" t="str">
        <x:v>Stores</x:v>
      </x:c>
      <x:c r="C21" s="30" t="str">
        <x:v>Abel to approve/cancel store requesition</x:v>
      </x:c>
      <x:c r="D21" s="33" t="str">
        <x:v>Mandatory</x:v>
      </x:c>
      <x:c r="E21" s="33" t="str">
        <x:v>Implemented</x:v>
      </x:c>
      <x:c r="F21" s="33" t="str">
        <x:v>pass</x:v>
      </x:c>
      <x:c r="G21" s="30" t="str">
        <x:v>HB Remarks: pass</x:v>
      </x:c>
      <x:c r="H21" s="33" t="str">
        <x:v>In Scope</x:v>
      </x:c>
      <x:c r="I21" s="33" t="str">
        <x:v>Bank marked Pass — retained</x:v>
      </x:c>
      <x:c r="J21" s="30" t="str">
        <x:v>Existing Stores workflow retained; no module or navigation removal is included in this release.</x:v>
      </x:c>
      <x:c r="K21" s="30" t="str">
        <x:v>Source workbook is marked Pass; full portal/backend regression build passed.</x:v>
      </x:c>
      <x:c r="L21" s="33" t="str">
        <x:v>Bank source says Pass</x:v>
      </x:c>
      <x:c r="M21" s="33" t="str"/>
      <x:c r="N21" s="36" t="str"/>
    </x:row>
    <x:row r="22" ht="32.400001525878906" hidden="0" customHeight="1">
      <x:c r="A22" s="33" t="n">
        <x:v>20</x:v>
      </x:c>
      <x:c r="B22" s="30" t="str">
        <x:v>Fuel</x:v>
      </x:c>
      <x:c r="C22" s="30" t="str">
        <x:v>Able to create new Fuel request</x:v>
      </x:c>
      <x:c r="D22" s="33" t="str">
        <x:v>Can be pend</x:v>
      </x:c>
      <x:c r="E22" s="33" t="str">
        <x:v>Implemented</x:v>
      </x:c>
      <x:c r="F22" s="33" t="str">
        <x:v>pass</x:v>
      </x:c>
      <x:c r="G22" s="30" t="str">
        <x:v>HB Remarks: pass
Legacy Excel comment: Tesfaye Tolcha Gemeda: integrate vehicle plate number with the specific fuel card number</x:v>
      </x:c>
      <x:c r="H22" s="33" t="str">
        <x:v>In Scope</x:v>
      </x:c>
      <x:c r="I22" s="33" t="str">
        <x:v>Comment-driven fix implemented</x:v>
      </x:c>
      <x:c r="J22" s="30" t="str">
        <x:v>Fuel-card lookup now returns and displays its assigned vehicle plate/vendor linkage.</x:v>
      </x:c>
      <x:c r="K22" s="30" t="str">
        <x:v>Backend type-check passed; on-prem portal build passed; 75 automated backend tests passed.</x:v>
      </x:c>
      <x:c r="L22" s="33" t="str">
        <x:v>Pending live BC UAT</x:v>
      </x:c>
      <x:c r="M22" s="33" t="str"/>
      <x:c r="N22" s="36" t="str"/>
    </x:row>
    <x:row r="23" ht="32.400001525878906" hidden="0" customHeight="1">
      <x:c r="A23" s="33" t="n">
        <x:v>21</x:v>
      </x:c>
      <x:c r="B23" s="30" t="str">
        <x:v>Fuel</x:v>
      </x:c>
      <x:c r="C23" s="30" t="str">
        <x:v>Able to check fuel availability</x:v>
      </x:c>
      <x:c r="D23" s="33" t="str">
        <x:v>Can be pend</x:v>
      </x:c>
      <x:c r="E23" s="33" t="str">
        <x:v>Clarification with Bank</x:v>
      </x:c>
      <x:c r="F23" s="33" t="str">
        <x:v>fail</x:v>
      </x:c>
      <x:c r="G23" s="30" t="str">
        <x:v>HB Remarks: fail
Remark: Need to check fuel request standard against the request fuel /km for each vehicle fuel request</x:v>
      </x:c>
      <x:c r="H23" s="33" t="str">
        <x:v>In Scope</x:v>
      </x:c>
      <x:c r="I23" s="33" t="str">
        <x:v>Code fix implemented</x:v>
      </x:c>
      <x:c r="J23" s="30" t="str">
        <x:v>Fuel detail includes vehicle/card linkage, current odometer, vehicle fuel rating, and requested litres so the Business Central standard can be checked against the request.</x:v>
      </x:c>
      <x:c r="K23" s="30" t="str">
        <x:v>Backend type-check passed; on-prem portal build passed; 75 automated backend tests passed.</x:v>
      </x:c>
      <x:c r="L23" s="33" t="str">
        <x:v>Pending live BC UAT</x:v>
      </x:c>
      <x:c r="M23" s="33" t="str"/>
      <x:c r="N23" s="36" t="str"/>
    </x:row>
    <x:row r="24" ht="32.400001525878906" hidden="0" customHeight="1">
      <x:c r="A24" s="33" t="n">
        <x:v>22</x:v>
      </x:c>
      <x:c r="B24" s="30" t="str">
        <x:v>Fuel</x:v>
      </x:c>
      <x:c r="C24" s="30" t="str">
        <x:v>Able to show issued Fuel(approved fuel requests)</x:v>
      </x:c>
      <x:c r="D24" s="33" t="str">
        <x:v>Can be pend</x:v>
      </x:c>
      <x:c r="E24" s="33" t="str">
        <x:v>Implemented</x:v>
      </x:c>
      <x:c r="F24" s="33" t="str">
        <x:v>fail</x:v>
      </x:c>
      <x:c r="G24" s="30" t="str">
        <x:v>HB Remarks: fail
Remark: it does not show the requested detail &amp; with approver side it shows as FLT maintenance request</x:v>
      </x:c>
      <x:c r="H24" s="33" t="str">
        <x:v>In Scope</x:v>
      </x:c>
      <x:c r="I24" s="33" t="str">
        <x:v>Code fix implemented</x:v>
      </x:c>
      <x:c r="J24" s="30" t="str">
        <x:v>Fuel and maintenance approval documents are separated by request/document type; issued fuel detail is shown.</x:v>
      </x:c>
      <x:c r="K24" s="30" t="str">
        <x:v>Backend type-check passed; on-prem portal build passed; 75 automated backend tests passed.</x:v>
      </x:c>
      <x:c r="L24" s="33" t="str">
        <x:v>Pending live BC UAT</x:v>
      </x:c>
      <x:c r="M24" s="33" t="str"/>
      <x:c r="N24" s="36" t="str"/>
    </x:row>
    <x:row r="25" ht="32.400001525878906" hidden="0" customHeight="1">
      <x:c r="A25" s="33" t="n">
        <x:v>23</x:v>
      </x:c>
      <x:c r="B25" s="30" t="str">
        <x:v>Fuel</x:v>
      </x:c>
      <x:c r="C25" s="30" t="str">
        <x:v>Able to send Fuel requisition for approval</x:v>
      </x:c>
      <x:c r="D25" s="33" t="str">
        <x:v>Can be pend</x:v>
      </x:c>
      <x:c r="E25" s="33" t="str">
        <x:v>Implemented</x:v>
      </x:c>
      <x:c r="F25" s="33" t="str">
        <x:v>fail</x:v>
      </x:c>
      <x:c r="G25" s="30" t="str">
        <x:v>HB Remarks: fail
Remark: it does not show the requested detail &amp; with approver side it shows as FLT maintenance request</x:v>
      </x:c>
      <x:c r="H25" s="33" t="str">
        <x:v>In Scope</x:v>
      </x:c>
      <x:c r="I25" s="33" t="str">
        <x:v>Code fix implemented</x:v>
      </x:c>
      <x:c r="J25" s="30" t="str">
        <x:v>Fuel approval submission retains fuel type and full request detail.</x:v>
      </x:c>
      <x:c r="K25" s="30" t="str">
        <x:v>Backend type-check passed; on-prem portal build passed; 75 automated backend tests passed.</x:v>
      </x:c>
      <x:c r="L25" s="33" t="str">
        <x:v>Pending live BC UAT</x:v>
      </x:c>
      <x:c r="M25" s="33" t="str"/>
      <x:c r="N25" s="36" t="str"/>
    </x:row>
    <x:row r="26" ht="32.400001525878906" hidden="0" customHeight="1">
      <x:c r="A26" s="33" t="n">
        <x:v>24</x:v>
      </x:c>
      <x:c r="B26" s="30" t="str">
        <x:v>Fuel</x:v>
      </x:c>
      <x:c r="C26" s="30" t="str">
        <x:v>Abel to see pending fuel request</x:v>
      </x:c>
      <x:c r="D26" s="33" t="str">
        <x:v>Can be pend</x:v>
      </x:c>
      <x:c r="E26" s="33" t="str">
        <x:v>Implemented</x:v>
      </x:c>
      <x:c r="F26" s="33" t="str">
        <x:v>fail</x:v>
      </x:c>
      <x:c r="G26" s="30" t="str">
        <x:v>HB Remarks: fail
Remark: it does not show the requested detail &amp; with approver side it shows as FLT maintenance request</x:v>
      </x:c>
      <x:c r="H26" s="33" t="str">
        <x:v>In Scope</x:v>
      </x:c>
      <x:c r="I26" s="33" t="str">
        <x:v>Code fix implemented</x:v>
      </x:c>
      <x:c r="J26" s="30" t="str">
        <x:v>Pending fuel list/detail uses the Business Central fuel status and request type.</x:v>
      </x:c>
      <x:c r="K26" s="30" t="str">
        <x:v>Backend type-check passed; on-prem portal build passed; 75 automated backend tests passed.</x:v>
      </x:c>
      <x:c r="L26" s="33" t="str">
        <x:v>Pending live BC UAT</x:v>
      </x:c>
      <x:c r="M26" s="33" t="str"/>
      <x:c r="N26" s="36" t="str"/>
    </x:row>
    <x:row r="27" ht="21.600000381469727" hidden="0" customHeight="1">
      <x:c r="A27" s="33" t="n">
        <x:v>25</x:v>
      </x:c>
      <x:c r="B27" s="30" t="str">
        <x:v>Fuel</x:v>
      </x:c>
      <x:c r="C27" s="30" t="str">
        <x:v>Able to create new Fuel request</x:v>
      </x:c>
      <x:c r="D27" s="33" t="str">
        <x:v>Can be pend</x:v>
      </x:c>
      <x:c r="E27" s="33" t="str">
        <x:v>Implemented</x:v>
      </x:c>
      <x:c r="F27" s="33" t="str">
        <x:v>pass</x:v>
      </x:c>
      <x:c r="G27" s="30" t="str">
        <x:v>HB Remarks: pass
Remark: can creat still not show the requested line</x:v>
      </x:c>
      <x:c r="H27" s="33" t="str">
        <x:v>In Scope</x:v>
      </x:c>
      <x:c r="I27" s="33" t="str">
        <x:v>Bank marked Pass — retained</x:v>
      </x:c>
      <x:c r="J27" s="30" t="str">
        <x:v>Existing Fuel workflow retained; no module or navigation removal is included in this release.</x:v>
      </x:c>
      <x:c r="K27" s="30" t="str">
        <x:v>Source workbook is marked Pass; full portal/backend regression build passed.</x:v>
      </x:c>
      <x:c r="L27" s="33" t="str">
        <x:v>Bank source says Pass</x:v>
      </x:c>
      <x:c r="M27" s="33" t="str"/>
      <x:c r="N27" s="36" t="str"/>
    </x:row>
    <x:row r="28" ht="32.400001525878906" hidden="0" customHeight="1">
      <x:c r="A28" s="33" t="n">
        <x:v>26</x:v>
      </x:c>
      <x:c r="B28" s="30" t="str">
        <x:v>Fuel</x:v>
      </x:c>
      <x:c r="C28" s="30" t="str">
        <x:v>Able to send Fuel requisition for approval</x:v>
      </x:c>
      <x:c r="D28" s="33" t="str">
        <x:v>Can be pend</x:v>
      </x:c>
      <x:c r="E28" s="33" t="str">
        <x:v>Implemented</x:v>
      </x:c>
      <x:c r="F28" s="33" t="str">
        <x:v>fail</x:v>
      </x:c>
      <x:c r="G28" s="30" t="str">
        <x:v>HB Remarks: fail
Remark: it does not show the requested detail &amp; with approver side it shows as FLT maintenance request</x:v>
      </x:c>
      <x:c r="H28" s="33" t="str">
        <x:v>In Scope</x:v>
      </x:c>
      <x:c r="I28" s="33" t="str">
        <x:v>Code fix implemented</x:v>
      </x:c>
      <x:c r="J28" s="30" t="str">
        <x:v>Fuel approval submission and approver detail use the fuel mapping rather than maintenance.</x:v>
      </x:c>
      <x:c r="K28" s="30" t="str">
        <x:v>Backend type-check passed; on-prem portal build passed; 75 automated backend tests passed.</x:v>
      </x:c>
      <x:c r="L28" s="33" t="str">
        <x:v>Pending live BC UAT</x:v>
      </x:c>
      <x:c r="M28" s="33" t="str"/>
      <x:c r="N28" s="36" t="str"/>
    </x:row>
    <x:row r="29" ht="32.400001525878906" hidden="0" customHeight="1">
      <x:c r="A29" s="33" t="n">
        <x:v>27</x:v>
      </x:c>
      <x:c r="B29" s="30" t="str">
        <x:v>Transport</x:v>
      </x:c>
      <x:c r="C29" s="30" t="str">
        <x:v>Able to send request City Transport request</x:v>
      </x:c>
      <x:c r="D29" s="33" t="str">
        <x:v>Mandatory</x:v>
      </x:c>
      <x:c r="E29" s="33" t="str">
        <x:v>Implemented</x:v>
      </x:c>
      <x:c r="F29" s="33" t="str">
        <x:v>pass</x:v>
      </x:c>
      <x:c r="G29" s="30" t="str">
        <x:v>HB Remarks: pass
Legacy Excel comment: Tesfaye Tolcha Gemeda: need trip starting/from and employee name</x:v>
      </x:c>
      <x:c r="H29" s="33" t="str">
        <x:v>In Scope</x:v>
      </x:c>
      <x:c r="I29" s="33" t="str">
        <x:v>Comment-driven fix implemented</x:v>
      </x:c>
      <x:c r="J29" s="30" t="str">
        <x:v>Transport includes Trip Origin / Starting From and resolves the internal employee passenger name.</x:v>
      </x:c>
      <x:c r="K29" s="30" t="str">
        <x:v>Backend type-check passed; on-prem portal build passed; 75 automated backend tests passed.</x:v>
      </x:c>
      <x:c r="L29" s="33" t="str">
        <x:v>Pending live BC UAT</x:v>
      </x:c>
      <x:c r="M29" s="33" t="str"/>
      <x:c r="N29" s="36" t="str"/>
    </x:row>
    <x:row r="30" ht="43.20000076293945" hidden="0" customHeight="1">
      <x:c r="A30" s="33" t="n">
        <x:v>28</x:v>
      </x:c>
      <x:c r="B30" s="30" t="str">
        <x:v>Transport</x:v>
      </x:c>
      <x:c r="C30" s="30" t="str">
        <x:v>Able to request FieldTransport request</x:v>
      </x:c>
      <x:c r="D30" s="33" t="str">
        <x:v>Mandatory</x:v>
      </x:c>
      <x:c r="E30" s="33" t="str">
        <x:v>Implemented</x:v>
      </x:c>
      <x:c r="F30" s="33" t="str">
        <x:v>fail</x:v>
      </x:c>
      <x:c r="G30" s="30" t="str">
        <x:v>HB Remarks: fail
Remark: its outomatically changed to as city request when sent to approval
Legacy Excel comment: Tesfaye Tolcha Gemeda: need trip starting/from and employee name; only City trip is recognized</x:v>
      </x:c>
      <x:c r="H30" s="33" t="str">
        <x:v>In Scope</x:v>
      </x:c>
      <x:c r="I30" s="33" t="str">
        <x:v>Code fix implemented</x:v>
      </x:c>
      <x:c r="J30" s="30" t="str">
        <x:v>Field Trip is explicitly mapped as a distinct Business Central option and is not converted to City.</x:v>
      </x:c>
      <x:c r="K30" s="30" t="str">
        <x:v>Backend type-check passed; on-prem portal build passed; 75 automated backend tests passed.</x:v>
      </x:c>
      <x:c r="L30" s="33" t="str">
        <x:v>Pending live BC UAT</x:v>
      </x:c>
      <x:c r="M30" s="33" t="str"/>
      <x:c r="N30" s="36" t="str"/>
    </x:row>
    <x:row r="31" ht="21.600000381469727" hidden="0" customHeight="1">
      <x:c r="A31" s="33" t="n">
        <x:v>29</x:v>
      </x:c>
      <x:c r="B31" s="30" t="str">
        <x:v>Transport</x:v>
      </x:c>
      <x:c r="C31" s="30" t="str">
        <x:v>Abel to add Line for External and internals passangers list</x:v>
      </x:c>
      <x:c r="D31" s="33" t="str">
        <x:v>Mandatory</x:v>
      </x:c>
      <x:c r="E31" s="33" t="str">
        <x:v>Implemented</x:v>
      </x:c>
      <x:c r="F31" s="33" t="str">
        <x:v>pass</x:v>
      </x:c>
      <x:c r="G31" s="30" t="str">
        <x:v>HB Remarks: pass</x:v>
      </x:c>
      <x:c r="H31" s="33" t="str">
        <x:v>In Scope</x:v>
      </x:c>
      <x:c r="I31" s="33" t="str">
        <x:v>Bank marked Pass — retained</x:v>
      </x:c>
      <x:c r="J31" s="30" t="str">
        <x:v>Existing Transport workflow retained; no module or navigation removal is included in this release.</x:v>
      </x:c>
      <x:c r="K31" s="30" t="str">
        <x:v>Source workbook is marked Pass; full portal/backend regression build passed.</x:v>
      </x:c>
      <x:c r="L31" s="33" t="str">
        <x:v>Bank source says Pass</x:v>
      </x:c>
      <x:c r="M31" s="33" t="str"/>
      <x:c r="N31" s="36" t="str"/>
    </x:row>
    <x:row r="32" ht="43.20000076293945" hidden="0" customHeight="1">
      <x:c r="A32" s="33" t="n">
        <x:v>30</x:v>
      </x:c>
      <x:c r="B32" s="30" t="str">
        <x:v>Transport</x:v>
      </x:c>
      <x:c r="C32" s="30" t="str">
        <x:v>Able Line Manager approves city /Field request</x:v>
      </x:c>
      <x:c r="D32" s="33" t="str">
        <x:v>Mandatory</x:v>
      </x:c>
      <x:c r="E32" s="33" t="str">
        <x:v>Implemented</x:v>
      </x:c>
      <x:c r="F32" s="33" t="str">
        <x:v>fail</x:v>
      </x:c>
      <x:c r="G32" s="30" t="str">
        <x:v>HB Remarks: fail
Remark: its outomatically changed to as city request when sent to approval
Legacy Excel comment: Tesfaye Tolcha Gemeda: approver cannot see the Field Trip request</x:v>
      </x:c>
      <x:c r="H32" s="33" t="str">
        <x:v>In Scope</x:v>
      </x:c>
      <x:c r="I32" s="33" t="str">
        <x:v>Code fix implemented</x:v>
      </x:c>
      <x:c r="J32" s="30" t="str">
        <x:v>Approver detail preserves Field Trip and exposes origin, destination, trip dates, and passengers.</x:v>
      </x:c>
      <x:c r="K32" s="30" t="str">
        <x:v>Backend type-check passed; on-prem portal build passed; 75 automated backend tests passed.</x:v>
      </x:c>
      <x:c r="L32" s="33" t="str">
        <x:v>Pending live BC UAT</x:v>
      </x:c>
      <x:c r="M32" s="33" t="str"/>
      <x:c r="N32" s="36" t="str"/>
    </x:row>
    <x:row r="33" ht="21.600000381469727" hidden="0" customHeight="1">
      <x:c r="A33" s="33" t="n">
        <x:v>31</x:v>
      </x:c>
      <x:c r="B33" s="30" t="str">
        <x:v>Transport</x:v>
      </x:c>
      <x:c r="C33" s="30" t="str">
        <x:v>Able Reject City/field Transport Request</x:v>
      </x:c>
      <x:c r="D33" s="33" t="str">
        <x:v>Mandatory</x:v>
      </x:c>
      <x:c r="E33" s="33" t="str">
        <x:v>Implemented</x:v>
      </x:c>
      <x:c r="F33" s="33" t="str">
        <x:v>pass</x:v>
      </x:c>
      <x:c r="G33" s="30" t="str">
        <x:v>HB Remarks: pass</x:v>
      </x:c>
      <x:c r="H33" s="33" t="str">
        <x:v>In Scope</x:v>
      </x:c>
      <x:c r="I33" s="33" t="str">
        <x:v>Bank marked Pass — retained</x:v>
      </x:c>
      <x:c r="J33" s="30" t="str">
        <x:v>Existing Transport workflow retained; no module or navigation removal is included in this release.</x:v>
      </x:c>
      <x:c r="K33" s="30" t="str">
        <x:v>Source workbook is marked Pass; full portal/backend regression build passed.</x:v>
      </x:c>
      <x:c r="L33" s="33" t="str">
        <x:v>Bank source says Pass</x:v>
      </x:c>
      <x:c r="M33" s="33" t="str"/>
      <x:c r="N33" s="36" t="str"/>
    </x:row>
    <x:row r="34" ht="21.600000381469727" hidden="0" customHeight="1">
      <x:c r="A34" s="33" t="n">
        <x:v>32</x:v>
      </x:c>
      <x:c r="B34" s="30" t="str">
        <x:v>Transport</x:v>
      </x:c>
      <x:c r="C34" s="30" t="str">
        <x:v>Abel Cancel City/field Transport Request</x:v>
      </x:c>
      <x:c r="D34" s="33" t="str">
        <x:v>Mandatory</x:v>
      </x:c>
      <x:c r="E34" s="33" t="str">
        <x:v>Clarification with Bank</x:v>
      </x:c>
      <x:c r="F34" s="33" t="str">
        <x:v>pass</x:v>
      </x:c>
      <x:c r="G34" s="30" t="str">
        <x:v>HB Remarks: pass
Remark: It can be rejected we have tested with reject</x:v>
      </x:c>
      <x:c r="H34" s="33" t="str">
        <x:v>In Scope</x:v>
      </x:c>
      <x:c r="I34" s="33" t="str">
        <x:v>Bank marked Pass — retained</x:v>
      </x:c>
      <x:c r="J34" s="30" t="str">
        <x:v>Existing Transport workflow retained; no module or navigation removal is included in this release.</x:v>
      </x:c>
      <x:c r="K34" s="30" t="str">
        <x:v>Source workbook is marked Pass; full portal/backend regression build passed.</x:v>
      </x:c>
      <x:c r="L34" s="33" t="str">
        <x:v>Bank source says Pass</x:v>
      </x:c>
      <x:c r="M34" s="33" t="str"/>
      <x:c r="N34" s="36" t="str"/>
    </x:row>
    <x:row r="35" ht="21.600000381469727" hidden="0" customHeight="1">
      <x:c r="A35" s="33" t="n">
        <x:v>33</x:v>
      </x:c>
      <x:c r="B35" s="30" t="str">
        <x:v>Transport</x:v>
      </x:c>
      <x:c r="C35" s="30" t="str">
        <x:v>Able to receive request for reschedule proposed due to Vehicle unavailability</x:v>
      </x:c>
      <x:c r="D35" s="33" t="str">
        <x:v>Mandatory</x:v>
      </x:c>
      <x:c r="E35" s="33" t="str">
        <x:v>Implemented</x:v>
      </x:c>
      <x:c r="F35" s="33" t="str">
        <x:v>pass</x:v>
      </x:c>
      <x:c r="G35" s="30" t="str">
        <x:v>HB Remarks: pass</x:v>
      </x:c>
      <x:c r="H35" s="33" t="str">
        <x:v>In Scope</x:v>
      </x:c>
      <x:c r="I35" s="33" t="str">
        <x:v>Bank marked Pass — retained</x:v>
      </x:c>
      <x:c r="J35" s="30" t="str">
        <x:v>Existing Transport workflow retained; no module or navigation removal is included in this release.</x:v>
      </x:c>
      <x:c r="K35" s="30" t="str">
        <x:v>Source workbook is marked Pass; full portal/backend regression build passed.</x:v>
      </x:c>
      <x:c r="L35" s="33" t="str">
        <x:v>Bank source says Pass</x:v>
      </x:c>
      <x:c r="M35" s="33" t="str"/>
      <x:c r="N35" s="36" t="str"/>
    </x:row>
    <x:row r="36" ht="21.600000381469727" hidden="0" customHeight="1">
      <x:c r="A36" s="33" t="n">
        <x:v>34</x:v>
      </x:c>
      <x:c r="B36" s="30" t="str">
        <x:v>Transport</x:v>
      </x:c>
      <x:c r="C36" s="30" t="str">
        <x:v>Prevent duplicate Vehicle Request</x:v>
      </x:c>
      <x:c r="D36" s="33" t="str">
        <x:v>Mandatory</x:v>
      </x:c>
      <x:c r="E36" s="33" t="str">
        <x:v>ERP Pending</x:v>
      </x:c>
      <x:c r="F36" s="33" t="str">
        <x:v>fail</x:v>
      </x:c>
      <x:c r="G36" s="30" t="str">
        <x:v>HB Remarks: fail
Remark: not prevent duplicate vehile request</x:v>
      </x:c>
      <x:c r="H36" s="33" t="str">
        <x:v>In Scope</x:v>
      </x:c>
      <x:c r="I36" s="33" t="str">
        <x:v>Code fix implemented</x:v>
      </x:c>
      <x:c r="J36" s="30" t="str">
        <x:v>The backend blocks another active transport request for the same employee, trip date, origin, and destination before creating a duplicate in Business Central.</x:v>
      </x:c>
      <x:c r="K36" s="30" t="str">
        <x:v>Backend type-check passed; on-prem portal build passed; 75 automated backend tests passed.</x:v>
      </x:c>
      <x:c r="L36" s="33" t="str">
        <x:v>Pending live BC UAT</x:v>
      </x:c>
      <x:c r="M36" s="33" t="str"/>
      <x:c r="N36" s="36" t="str"/>
    </x:row>
    <x:row r="37" ht="32.400001525878906" hidden="0" customHeight="1">
      <x:c r="A37" s="33" t="n">
        <x:v>35</x:v>
      </x:c>
      <x:c r="B37" s="30" t="str">
        <x:v>Maintenance</x:v>
      </x:c>
      <x:c r="C37" s="30" t="str">
        <x:v>Create Fixed Asset maintenance request by user organ</x:v>
      </x:c>
      <x:c r="D37" s="33" t="str">
        <x:v>Can be pend</x:v>
      </x:c>
      <x:c r="E37" s="33" t="str">
        <x:v>Out Of Scope</x:v>
      </x:c>
      <x:c r="F37" s="33" t="str">
        <x:v>fail</x:v>
      </x:c>
      <x:c r="G37" s="30" t="str">
        <x:v>HB Remarks: fail
Remark: the template not there at SSP</x:v>
      </x:c>
      <x:c r="H37" s="33" t="str">
        <x:v>Out of Scope</x:v>
      </x:c>
      <x:c r="I37" s="33" t="str">
        <x:v>Out of Scope — confirmed</x:v>
      </x:c>
      <x:c r="J37" s="30" t="str">
        <x:v>Excluded from the required pass count by the workbook scope and the user instruction. No UAT Pass is claimed for this row; any retained portal capability is supplementary.</x:v>
      </x:c>
      <x:c r="K37" s="30" t="str">
        <x:v>Scope confirmed from the workbook and user instruction.</x:v>
      </x:c>
      <x:c r="L37" s="33" t="str">
        <x:v>Not Required</x:v>
      </x:c>
      <x:c r="M37" s="33" t="str"/>
      <x:c r="N37" s="36" t="str"/>
    </x:row>
    <x:row r="38" ht="32.400001525878906" hidden="0" customHeight="1">
      <x:c r="A38" s="33" t="n">
        <x:v>36</x:v>
      </x:c>
      <x:c r="B38" s="30" t="str">
        <x:v>Maintenance</x:v>
      </x:c>
      <x:c r="C38" s="30" t="str">
        <x:v>Send maintenance for approval</x:v>
      </x:c>
      <x:c r="D38" s="33" t="str">
        <x:v>Can be pend</x:v>
      </x:c>
      <x:c r="E38" s="33" t="str">
        <x:v>Out Of Scope</x:v>
      </x:c>
      <x:c r="F38" s="33" t="str">
        <x:v>fail</x:v>
      </x:c>
      <x:c r="G38" s="30" t="str">
        <x:v>HB Remarks: fail
Remark: the template not there at SSP</x:v>
      </x:c>
      <x:c r="H38" s="33" t="str">
        <x:v>Out of Scope</x:v>
      </x:c>
      <x:c r="I38" s="33" t="str">
        <x:v>Out of Scope — confirmed</x:v>
      </x:c>
      <x:c r="J38" s="30" t="str">
        <x:v>Excluded from the required pass count by the workbook scope and the user instruction. No UAT Pass is claimed for this row; any retained portal capability is supplementary.</x:v>
      </x:c>
      <x:c r="K38" s="30" t="str">
        <x:v>Scope confirmed from the workbook and user instruction.</x:v>
      </x:c>
      <x:c r="L38" s="33" t="str">
        <x:v>Not Required</x:v>
      </x:c>
      <x:c r="M38" s="33" t="str"/>
      <x:c r="N38" s="36" t="str"/>
    </x:row>
    <x:row r="39" ht="32.400001525878906" hidden="0" customHeight="1">
      <x:c r="A39" s="33" t="n">
        <x:v>37</x:v>
      </x:c>
      <x:c r="B39" s="30" t="str">
        <x:v>Maintenance</x:v>
      </x:c>
      <x:c r="C39" s="30" t="str">
        <x:v>Abel to approve pending request</x:v>
      </x:c>
      <x:c r="D39" s="33" t="str">
        <x:v>Can be pend</x:v>
      </x:c>
      <x:c r="E39" s="33" t="str">
        <x:v>Out Of Scope</x:v>
      </x:c>
      <x:c r="F39" s="33" t="str">
        <x:v>fail</x:v>
      </x:c>
      <x:c r="G39" s="30" t="str">
        <x:v>HB Remarks: fail
Remark: the template not there at SSP</x:v>
      </x:c>
      <x:c r="H39" s="33" t="str">
        <x:v>Out of Scope</x:v>
      </x:c>
      <x:c r="I39" s="33" t="str">
        <x:v>Out of Scope — confirmed</x:v>
      </x:c>
      <x:c r="J39" s="30" t="str">
        <x:v>Excluded from the required pass count by the workbook scope and the user instruction. No UAT Pass is claimed for this row; any retained portal capability is supplementary.</x:v>
      </x:c>
      <x:c r="K39" s="30" t="str">
        <x:v>Scope confirmed from the workbook and user instruction.</x:v>
      </x:c>
      <x:c r="L39" s="33" t="str">
        <x:v>Not Required</x:v>
      </x:c>
      <x:c r="M39" s="33" t="str"/>
      <x:c r="N39" s="36" t="str"/>
    </x:row>
    <x:row r="40" ht="32.400001525878906" hidden="0" customHeight="1">
      <x:c r="A40" s="33" t="n">
        <x:v>38</x:v>
      </x:c>
      <x:c r="B40" s="30" t="str">
        <x:v>Maintenance</x:v>
      </x:c>
      <x:c r="C40" s="30" t="str">
        <x:v>reject mainenance rquest</x:v>
      </x:c>
      <x:c r="D40" s="33" t="str">
        <x:v>Can be pend</x:v>
      </x:c>
      <x:c r="E40" s="33" t="str">
        <x:v>Out Of Scope</x:v>
      </x:c>
      <x:c r="F40" s="33" t="str">
        <x:v>fail</x:v>
      </x:c>
      <x:c r="G40" s="30" t="str">
        <x:v>HB Remarks: fail
Remark: the template not there at SSP</x:v>
      </x:c>
      <x:c r="H40" s="33" t="str">
        <x:v>Out of Scope</x:v>
      </x:c>
      <x:c r="I40" s="33" t="str">
        <x:v>Out of Scope — confirmed</x:v>
      </x:c>
      <x:c r="J40" s="30" t="str">
        <x:v>Excluded from the required pass count by the workbook scope and the user instruction. No UAT Pass is claimed for this row; any retained portal capability is supplementary.</x:v>
      </x:c>
      <x:c r="K40" s="30" t="str">
        <x:v>Scope confirmed from the workbook and user instruction.</x:v>
      </x:c>
      <x:c r="L40" s="33" t="str">
        <x:v>Not Required</x:v>
      </x:c>
      <x:c r="M40" s="33" t="str"/>
      <x:c r="N40" s="36" t="str"/>
    </x:row>
    <x:row r="41" ht="32.400001525878906" hidden="0" customHeight="1">
      <x:c r="A41" s="33" t="n">
        <x:v>39</x:v>
      </x:c>
      <x:c r="B41" s="30" t="str">
        <x:v>Maintenance</x:v>
      </x:c>
      <x:c r="C41" s="30" t="str">
        <x:v>Technical Manager assigns internal technician</x:v>
      </x:c>
      <x:c r="D41" s="33" t="str">
        <x:v>Can be pend</x:v>
      </x:c>
      <x:c r="E41" s="33" t="str">
        <x:v>Out Of Scope</x:v>
      </x:c>
      <x:c r="F41" s="33" t="str">
        <x:v>fail</x:v>
      </x:c>
      <x:c r="G41" s="30" t="str">
        <x:v>HB Remarks: fail
Remark: the template not there at SSP</x:v>
      </x:c>
      <x:c r="H41" s="33" t="str">
        <x:v>Out of Scope</x:v>
      </x:c>
      <x:c r="I41" s="33" t="str">
        <x:v>Out of Scope — confirmed</x:v>
      </x:c>
      <x:c r="J41" s="30" t="str">
        <x:v>Excluded from the required pass count by the workbook scope and the user instruction. No UAT Pass is claimed for this row; any retained portal capability is supplementary.</x:v>
      </x:c>
      <x:c r="K41" s="30" t="str">
        <x:v>Scope confirmed from the workbook and user instruction.</x:v>
      </x:c>
      <x:c r="L41" s="33" t="str">
        <x:v>Not Required</x:v>
      </x:c>
      <x:c r="M41" s="33" t="str"/>
      <x:c r="N41" s="36" t="str"/>
    </x:row>
    <x:row r="42" ht="32.400001525878906" hidden="0" customHeight="1">
      <x:c r="A42" s="33" t="n">
        <x:v>40</x:v>
      </x:c>
      <x:c r="B42" s="30" t="str">
        <x:v>Maintenance</x:v>
      </x:c>
      <x:c r="C42" s="30" t="str">
        <x:v>Requestor confirm receipt of maintained FA</x:v>
      </x:c>
      <x:c r="D42" s="33" t="str">
        <x:v>Can be pend</x:v>
      </x:c>
      <x:c r="E42" s="33" t="str">
        <x:v>Out Of Scope</x:v>
      </x:c>
      <x:c r="F42" s="33" t="str">
        <x:v>fail</x:v>
      </x:c>
      <x:c r="G42" s="30" t="str">
        <x:v>HB Remarks: fail
Remark: the template not there at SSP</x:v>
      </x:c>
      <x:c r="H42" s="33" t="str">
        <x:v>Out of Scope</x:v>
      </x:c>
      <x:c r="I42" s="33" t="str">
        <x:v>Out of Scope — confirmed</x:v>
      </x:c>
      <x:c r="J42" s="30" t="str">
        <x:v>Excluded from the required pass count by the workbook scope and the user instruction. No UAT Pass is claimed for this row; any retained portal capability is supplementary.</x:v>
      </x:c>
      <x:c r="K42" s="30" t="str">
        <x:v>Scope confirmed from the workbook and user instruction.</x:v>
      </x:c>
      <x:c r="L42" s="33" t="str">
        <x:v>Not Required</x:v>
      </x:c>
      <x:c r="M42" s="33" t="str"/>
      <x:c r="N42" s="36" t="str"/>
    </x:row>
    <x:row r="43" ht="32.400001525878906" hidden="0" customHeight="1">
      <x:c r="A43" s="33" t="n">
        <x:v>41</x:v>
      </x:c>
      <x:c r="B43" s="30" t="str">
        <x:v>Maintenance</x:v>
      </x:c>
      <x:c r="C43" s="30" t="str">
        <x:v>Create request for vehicle service maintenance at ≥5,000 km and submit</x:v>
      </x:c>
      <x:c r="D43" s="33" t="str">
        <x:v>Can be pend</x:v>
      </x:c>
      <x:c r="E43" s="33" t="str">
        <x:v>Out Of Scope</x:v>
      </x:c>
      <x:c r="F43" s="33" t="str">
        <x:v>fail</x:v>
      </x:c>
      <x:c r="G43" s="30" t="str">
        <x:v>HB Remarks: fail
Remark: the template not there at SSP</x:v>
      </x:c>
      <x:c r="H43" s="33" t="str">
        <x:v>Out of Scope</x:v>
      </x:c>
      <x:c r="I43" s="33" t="str">
        <x:v>Out of Scope — confirmed</x:v>
      </x:c>
      <x:c r="J43" s="30" t="str">
        <x:v>Excluded from the required pass count by the workbook scope and the user instruction. No UAT Pass is claimed for this row; any retained portal capability is supplementary.</x:v>
      </x:c>
      <x:c r="K43" s="30" t="str">
        <x:v>Scope confirmed from the workbook and user instruction.</x:v>
      </x:c>
      <x:c r="L43" s="33" t="str">
        <x:v>Not Required</x:v>
      </x:c>
      <x:c r="M43" s="33" t="str"/>
      <x:c r="N43" s="36" t="str"/>
    </x:row>
    <x:row r="44" ht="32.400001525878906" hidden="0" customHeight="1">
      <x:c r="A44" s="33" t="n">
        <x:v>42</x:v>
      </x:c>
      <x:c r="B44" s="30" t="str">
        <x:v>Maintenance</x:v>
      </x:c>
      <x:c r="C44" s="30" t="str">
        <x:v>Abel to show next maintenance KM.</x:v>
      </x:c>
      <x:c r="D44" s="33" t="str">
        <x:v>Can be pend</x:v>
      </x:c>
      <x:c r="E44" s="33" t="str">
        <x:v>Out Of Scope</x:v>
      </x:c>
      <x:c r="F44" s="33" t="str">
        <x:v>fail</x:v>
      </x:c>
      <x:c r="G44" s="30" t="str">
        <x:v>HB Remarks: fail
Remark: the template not there at SSP</x:v>
      </x:c>
      <x:c r="H44" s="33" t="str">
        <x:v>Out of Scope</x:v>
      </x:c>
      <x:c r="I44" s="33" t="str">
        <x:v>Out of Scope — confirmed</x:v>
      </x:c>
      <x:c r="J44" s="30" t="str">
        <x:v>Excluded from the required pass count by the workbook scope and the user instruction. No UAT Pass is claimed for this row; any retained portal capability is supplementary.</x:v>
      </x:c>
      <x:c r="K44" s="30" t="str">
        <x:v>Scope confirmed from the workbook and user instruction.</x:v>
      </x:c>
      <x:c r="L44" s="33" t="str">
        <x:v>Not Required</x:v>
      </x:c>
      <x:c r="M44" s="33" t="str"/>
      <x:c r="N44" s="36" t="str"/>
    </x:row>
    <x:row r="45" ht="32.400001525878906" hidden="0" customHeight="1">
      <x:c r="A45" s="33" t="n">
        <x:v>43</x:v>
      </x:c>
      <x:c r="B45" s="30" t="str">
        <x:v>Maintenance</x:v>
      </x:c>
      <x:c r="C45" s="30" t="str">
        <x:v>Abel to reject maintenance request</x:v>
      </x:c>
      <x:c r="D45" s="33" t="str">
        <x:v>Can be pend</x:v>
      </x:c>
      <x:c r="E45" s="33" t="str">
        <x:v>Out Of Scope</x:v>
      </x:c>
      <x:c r="F45" s="33" t="str">
        <x:v>fail</x:v>
      </x:c>
      <x:c r="G45" s="30" t="str">
        <x:v>HB Remarks: fail
Remark: the template not there at SSP</x:v>
      </x:c>
      <x:c r="H45" s="33" t="str">
        <x:v>Out of Scope</x:v>
      </x:c>
      <x:c r="I45" s="33" t="str">
        <x:v>Out of Scope — confirmed</x:v>
      </x:c>
      <x:c r="J45" s="30" t="str">
        <x:v>Excluded from the required pass count by the workbook scope and the user instruction. No UAT Pass is claimed for this row; any retained portal capability is supplementary.</x:v>
      </x:c>
      <x:c r="K45" s="30" t="str">
        <x:v>Scope confirmed from the workbook and user instruction.</x:v>
      </x:c>
      <x:c r="L45" s="33" t="str">
        <x:v>Not Required</x:v>
      </x:c>
      <x:c r="M45" s="33" t="str"/>
      <x:c r="N45" s="36" t="str"/>
    </x:row>
    <x:row r="46" ht="32.400001525878906" hidden="0" customHeight="1">
      <x:c r="A46" s="33" t="n">
        <x:v>44</x:v>
      </x:c>
      <x:c r="B46" s="30" t="str">
        <x:v>Maintenance</x:v>
      </x:c>
      <x:c r="C46" s="30" t="str">
        <x:v>Abel to aprove requested maintenance</x:v>
      </x:c>
      <x:c r="D46" s="33" t="str">
        <x:v>Can be pend</x:v>
      </x:c>
      <x:c r="E46" s="33" t="str">
        <x:v>Out Of Scope</x:v>
      </x:c>
      <x:c r="F46" s="33" t="str">
        <x:v>fail</x:v>
      </x:c>
      <x:c r="G46" s="30" t="str">
        <x:v>HB Remarks: fail
Remark: the template not there at SSP</x:v>
      </x:c>
      <x:c r="H46" s="33" t="str">
        <x:v>Out of Scope</x:v>
      </x:c>
      <x:c r="I46" s="33" t="str">
        <x:v>Out of Scope — confirmed</x:v>
      </x:c>
      <x:c r="J46" s="30" t="str">
        <x:v>Excluded from the required pass count by the workbook scope and the user instruction. No UAT Pass is claimed for this row; any retained portal capability is supplementary.</x:v>
      </x:c>
      <x:c r="K46" s="30" t="str">
        <x:v>Scope confirmed from the workbook and user instruction.</x:v>
      </x:c>
      <x:c r="L46" s="33" t="str">
        <x:v>Not Required</x:v>
      </x:c>
      <x:c r="M46" s="33" t="str"/>
      <x:c r="N46" s="36" t="str"/>
    </x:row>
    <x:row r="47" ht="32.400001525878906" hidden="0" customHeight="1">
      <x:c r="A47" s="33" t="n">
        <x:v>45</x:v>
      </x:c>
      <x:c r="B47" s="30" t="str">
        <x:v>Work Ticket</x:v>
      </x:c>
      <x:c r="C47" s="30" t="str">
        <x:v>Creat A requistion for booking</x:v>
      </x:c>
      <x:c r="D47" s="33" t="str">
        <x:v>Mandatory</x:v>
      </x:c>
      <x:c r="E47" s="33" t="str">
        <x:v>Out Of Scope</x:v>
      </x:c>
      <x:c r="F47" s="33" t="str">
        <x:v>fail</x:v>
      </x:c>
      <x:c r="G47" s="30" t="str">
        <x:v>HB Remarks: fail
Remark: not have required field to fill the flight booking</x:v>
      </x:c>
      <x:c r="H47" s="33" t="str">
        <x:v>Out of Scope</x:v>
      </x:c>
      <x:c r="I47" s="33" t="str">
        <x:v>Out of Scope — confirmed</x:v>
      </x:c>
      <x:c r="J47" s="30" t="str">
        <x:v>Excluded from the required pass count by the workbook scope and the user instruction. No UAT Pass is claimed for this row; any retained portal capability is supplementary.</x:v>
      </x:c>
      <x:c r="K47" s="30" t="str">
        <x:v>Scope confirmed from the workbook and user instruction.</x:v>
      </x:c>
      <x:c r="L47" s="33" t="str">
        <x:v>Not Required</x:v>
      </x:c>
      <x:c r="M47" s="33" t="str"/>
      <x:c r="N47" s="36" t="str"/>
    </x:row>
    <x:row r="48" ht="32.400001525878906" hidden="0" customHeight="1">
      <x:c r="A48" s="33" t="n">
        <x:v>46</x:v>
      </x:c>
      <x:c r="B48" s="30" t="str">
        <x:v>Work Ticket</x:v>
      </x:c>
      <x:c r="C48" s="30" t="str">
        <x:v>Request sent for approval</x:v>
      </x:c>
      <x:c r="D48" s="33" t="str">
        <x:v>Mandatory</x:v>
      </x:c>
      <x:c r="E48" s="33" t="str">
        <x:v>Out Of Scope</x:v>
      </x:c>
      <x:c r="F48" s="33" t="str">
        <x:v>fail</x:v>
      </x:c>
      <x:c r="G48" s="30" t="str">
        <x:v>HB Remarks: fail
Remark: not have required field to fill the flight booking</x:v>
      </x:c>
      <x:c r="H48" s="33" t="str">
        <x:v>Out of Scope</x:v>
      </x:c>
      <x:c r="I48" s="33" t="str">
        <x:v>Out of Scope — confirmed</x:v>
      </x:c>
      <x:c r="J48" s="30" t="str">
        <x:v>Excluded from the required pass count by the workbook scope and the user instruction. No UAT Pass is claimed for this row; any retained portal capability is supplementary.</x:v>
      </x:c>
      <x:c r="K48" s="30" t="str">
        <x:v>Scope confirmed from the workbook and user instruction.</x:v>
      </x:c>
      <x:c r="L48" s="33" t="str">
        <x:v>Not Required</x:v>
      </x:c>
      <x:c r="M48" s="33" t="str"/>
      <x:c r="N48" s="36" t="str"/>
    </x:row>
    <x:row r="49" ht="32.400001525878906" hidden="0" customHeight="1">
      <x:c r="A49" s="33" t="n">
        <x:v>47</x:v>
      </x:c>
      <x:c r="B49" s="30" t="str">
        <x:v>Work Ticket</x:v>
      </x:c>
      <x:c r="C49" s="30" t="str">
        <x:v>Request approved/ rejected</x:v>
      </x:c>
      <x:c r="D49" s="33" t="str">
        <x:v>Mandatory</x:v>
      </x:c>
      <x:c r="E49" s="33" t="str">
        <x:v>Out Of Scope</x:v>
      </x:c>
      <x:c r="F49" s="33" t="str">
        <x:v>fail</x:v>
      </x:c>
      <x:c r="G49" s="30" t="str">
        <x:v>HB Remarks: fail
Remark: not have required field to fill the flight booking</x:v>
      </x:c>
      <x:c r="H49" s="33" t="str">
        <x:v>Out of Scope</x:v>
      </x:c>
      <x:c r="I49" s="33" t="str">
        <x:v>Out of Scope — confirmed</x:v>
      </x:c>
      <x:c r="J49" s="30" t="str">
        <x:v>Excluded from the required pass count by the workbook scope and the user instruction. No UAT Pass is claimed for this row; any retained portal capability is supplementary.</x:v>
      </x:c>
      <x:c r="K49" s="30" t="str">
        <x:v>Scope confirmed from the workbook and user instruction.</x:v>
      </x:c>
      <x:c r="L49" s="33" t="str">
        <x:v>Not Required</x:v>
      </x:c>
      <x:c r="M49" s="33" t="str"/>
      <x:c r="N49" s="36" t="str"/>
    </x:row>
    <x:row r="50" ht="32.400001525878906" hidden="0" customHeight="1">
      <x:c r="A50" s="33" t="n">
        <x:v>48</x:v>
      </x:c>
      <x:c r="B50" s="30" t="str">
        <x:v>Work Ticket</x:v>
      </x:c>
      <x:c r="C50" s="30" t="str">
        <x:v>Booking confirmaiton receipt</x:v>
      </x:c>
      <x:c r="D50" s="33" t="str">
        <x:v>Mandatory</x:v>
      </x:c>
      <x:c r="E50" s="33" t="str">
        <x:v>Out Of Scope</x:v>
      </x:c>
      <x:c r="F50" s="33" t="str">
        <x:v>fail</x:v>
      </x:c>
      <x:c r="G50" s="30" t="str">
        <x:v>HB Remarks: fail
Remark: not have required field to fill the flight booking</x:v>
      </x:c>
      <x:c r="H50" s="33" t="str">
        <x:v>Out of Scope</x:v>
      </x:c>
      <x:c r="I50" s="33" t="str">
        <x:v>Out of Scope — confirmed</x:v>
      </x:c>
      <x:c r="J50" s="30" t="str">
        <x:v>Excluded from the required pass count by the workbook scope and the user instruction. No UAT Pass is claimed for this row; any retained portal capability is supplementary.</x:v>
      </x:c>
      <x:c r="K50" s="30" t="str">
        <x:v>Scope confirmed from the workbook and user instruction.</x:v>
      </x:c>
      <x:c r="L50" s="33" t="str">
        <x:v>Not Required</x:v>
      </x:c>
      <x:c r="M50" s="33" t="str"/>
      <x:c r="N50" s="36" t="str"/>
    </x:row>
    <x:row r="51" ht="32.400001525878906" hidden="0" customHeight="1">
      <x:c r="A51" s="33" t="n">
        <x:v>49</x:v>
      </x:c>
      <x:c r="B51" s="30" t="str">
        <x:v>Transfer order</x:v>
      </x:c>
      <x:c r="C51" s="30" t="str">
        <x:v>Able to create Handover of vehicle and tools</x:v>
      </x:c>
      <x:c r="D51" s="33" t="str">
        <x:v>Mandatory</x:v>
      </x:c>
      <x:c r="E51" s="33" t="str">
        <x:v>Implemented</x:v>
      </x:c>
      <x:c r="F51" s="33" t="str">
        <x:v>fail</x:v>
      </x:c>
      <x:c r="G51" s="30" t="str">
        <x:v>HB Remarks: fail
Remark: the test case is for Asset Transfer/Vehicle or tools the SSP is Transfer order which is different</x:v>
      </x:c>
      <x:c r="H51" s="33" t="str">
        <x:v>In Scope</x:v>
      </x:c>
      <x:c r="I51" s="33" t="str">
        <x:v>Code fix implemented</x:v>
      </x:c>
      <x:c r="J51" s="30" t="str">
        <x:v>Asset / Vehicle / Tool Transfer is a separate module; it no longer reuses Transfer Order.</x:v>
      </x:c>
      <x:c r="K51" s="30" t="str">
        <x:v>Backend type-check passed; on-prem portal build passed; 75 automated backend tests passed.</x:v>
      </x:c>
      <x:c r="L51" s="33" t="str">
        <x:v>Pending live BC UAT</x:v>
      </x:c>
      <x:c r="M51" s="33" t="str"/>
      <x:c r="N51" s="36" t="str"/>
    </x:row>
    <x:row r="52" ht="32.400001525878906" hidden="0" customHeight="1">
      <x:c r="A52" s="33" t="n">
        <x:v>50</x:v>
      </x:c>
      <x:c r="B52" s="30" t="str">
        <x:v>Transfer order</x:v>
      </x:c>
      <x:c r="C52" s="30" t="str">
        <x:v>Able to approve handover of vehicle</x:v>
      </x:c>
      <x:c r="D52" s="33" t="str">
        <x:v>Mandatory</x:v>
      </x:c>
      <x:c r="E52" s="33" t="str">
        <x:v>Implemented</x:v>
      </x:c>
      <x:c r="F52" s="33" t="str">
        <x:v>fail</x:v>
      </x:c>
      <x:c r="G52" s="30" t="str">
        <x:v>HB Remarks: fail
Remark: the test case is for Asset Transfer/Vehicle or tools the SSP is Transfer order which is different</x:v>
      </x:c>
      <x:c r="H52" s="33" t="str">
        <x:v>In Scope</x:v>
      </x:c>
      <x:c r="I52" s="33" t="str">
        <x:v>Code fix implemented</x:v>
      </x:c>
      <x:c r="J52" s="30" t="str">
        <x:v>Asset-transfer approval maps to Business Central table 50278.</x:v>
      </x:c>
      <x:c r="K52" s="30" t="str">
        <x:v>Backend type-check passed; on-prem portal build passed; 75 automated backend tests passed.</x:v>
      </x:c>
      <x:c r="L52" s="33" t="str">
        <x:v>Pending live BC UAT</x:v>
      </x:c>
      <x:c r="M52" s="33" t="str"/>
      <x:c r="N52" s="36" t="str"/>
    </x:row>
    <x:row r="53" ht="32.400001525878906" hidden="0" customHeight="1">
      <x:c r="A53" s="33" t="n">
        <x:v>51</x:v>
      </x:c>
      <x:c r="B53" s="30" t="str">
        <x:v>Transfer order</x:v>
      </x:c>
      <x:c r="C53" s="30" t="str">
        <x:v>Able to do temporary asset transfer to employee</x:v>
      </x:c>
      <x:c r="D53" s="33" t="str">
        <x:v>Mandatory</x:v>
      </x:c>
      <x:c r="E53" s="33" t="str">
        <x:v>Implemented</x:v>
      </x:c>
      <x:c r="F53" s="33" t="str">
        <x:v>fail</x:v>
      </x:c>
      <x:c r="G53" s="30" t="str">
        <x:v>HB Remarks: fail
Remark: the test case is for Asset Transfer/Vehicle or tools the SSP is Transfer order which is different</x:v>
      </x:c>
      <x:c r="H53" s="33" t="str">
        <x:v>In Scope</x:v>
      </x:c>
      <x:c r="I53" s="33" t="str">
        <x:v>Code fix implemented</x:v>
      </x:c>
      <x:c r="J53" s="30" t="str">
        <x:v>Temporary/permanent transfer, employee, and expiry fields are included.</x:v>
      </x:c>
      <x:c r="K53" s="30" t="str">
        <x:v>Backend type-check passed; on-prem portal build passed; 75 automated backend tests passed.</x:v>
      </x:c>
      <x:c r="L53" s="33" t="str">
        <x:v>Pending live BC UAT</x:v>
      </x:c>
      <x:c r="M53" s="33" t="str"/>
      <x:c r="N53" s="36" t="str"/>
    </x:row>
    <x:row r="54" ht="32.400001525878906" hidden="0" customHeight="1">
      <x:c r="A54" s="33" t="n">
        <x:v>52</x:v>
      </x:c>
      <x:c r="B54" s="30" t="str">
        <x:v>Transfer order</x:v>
      </x:c>
      <x:c r="C54" s="30" t="str">
        <x:v>Able to approve temporary asset transfer list</x:v>
      </x:c>
      <x:c r="D54" s="33" t="str">
        <x:v>Mandatory</x:v>
      </x:c>
      <x:c r="E54" s="33" t="str">
        <x:v>Implemented</x:v>
      </x:c>
      <x:c r="F54" s="33" t="str">
        <x:v>fail</x:v>
      </x:c>
      <x:c r="G54" s="30" t="str">
        <x:v>HB Remarks: fail
Remark: the test case is for Asset Transfer/Vehicle or tools the SSP is Transfer order which is different</x:v>
      </x:c>
      <x:c r="H54" s="33" t="str">
        <x:v>In Scope</x:v>
      </x:c>
      <x:c r="I54" s="33" t="str">
        <x:v>Code fix implemented</x:v>
      </x:c>
      <x:c r="J54" s="30" t="str">
        <x:v>Temporary asset transfer appears in the approval workflow.</x:v>
      </x:c>
      <x:c r="K54" s="30" t="str">
        <x:v>Backend type-check passed; on-prem portal build passed; 75 automated backend tests passed.</x:v>
      </x:c>
      <x:c r="L54" s="33" t="str">
        <x:v>Pending live BC UAT</x:v>
      </x:c>
      <x:c r="M54" s="33" t="str"/>
      <x:c r="N54" s="36" t="str"/>
    </x:row>
    <x:row r="55" ht="32.400001525878906" hidden="0" customHeight="1">
      <x:c r="A55" s="33" t="n">
        <x:v>53</x:v>
      </x:c>
      <x:c r="B55" s="30" t="str">
        <x:v>Transfer order</x:v>
      </x:c>
      <x:c r="C55" s="30" t="str">
        <x:v>Able to Cancel temporary asset transfer list</x:v>
      </x:c>
      <x:c r="D55" s="33" t="str">
        <x:v>Mandatory</x:v>
      </x:c>
      <x:c r="E55" s="33" t="str">
        <x:v>Implemented</x:v>
      </x:c>
      <x:c r="F55" s="33" t="str">
        <x:v>fail</x:v>
      </x:c>
      <x:c r="G55" s="30" t="str">
        <x:v>HB Remarks: fail
Remark: the test case is for Asset Transfer/Vehicle or tools the SSP is Transfer order which is different</x:v>
      </x:c>
      <x:c r="H55" s="33" t="str">
        <x:v>In Scope</x:v>
      </x:c>
      <x:c r="I55" s="33" t="str">
        <x:v>Code fix implemented</x:v>
      </x:c>
      <x:c r="J55" s="30" t="str">
        <x:v>Asset-transfer approval can be cancelled before completion.</x:v>
      </x:c>
      <x:c r="K55" s="30" t="str">
        <x:v>Backend type-check passed; on-prem portal build passed; 75 automated backend tests passed.</x:v>
      </x:c>
      <x:c r="L55" s="33" t="str">
        <x:v>Pending live BC UAT</x:v>
      </x:c>
      <x:c r="M55" s="33" t="str"/>
      <x:c r="N55" s="36" t="str"/>
    </x:row>
    <x:row r="56" ht="32.400001525878906" hidden="0" customHeight="1">
      <x:c r="A56" s="33" t="n">
        <x:v>54</x:v>
      </x:c>
      <x:c r="B56" s="30" t="str">
        <x:v>Transfer order</x:v>
      </x:c>
      <x:c r="C56" s="30" t="str">
        <x:v>Able to post asset transfer</x:v>
      </x:c>
      <x:c r="D56" s="33" t="str">
        <x:v>Mandatory</x:v>
      </x:c>
      <x:c r="E56" s="33" t="str">
        <x:v>Implemented</x:v>
      </x:c>
      <x:c r="F56" s="33" t="str">
        <x:v>fail</x:v>
      </x:c>
      <x:c r="G56" s="30" t="str">
        <x:v>HB Remarks: fail
Remark: the test case is for Asset Transfer/Vehicle or tools the SSP is Transfer order which is different</x:v>
      </x:c>
      <x:c r="H56" s="33" t="str">
        <x:v>In Scope</x:v>
      </x:c>
      <x:c r="I56" s="33" t="str">
        <x:v>Code fix implemented</x:v>
      </x:c>
      <x:c r="J56" s="30" t="str">
        <x:v>Approved asset transfer exposes the post action through the dedicated controller.</x:v>
      </x:c>
      <x:c r="K56" s="30" t="str">
        <x:v>Backend type-check passed; on-prem portal build passed; 75 automated backend tests passed.</x:v>
      </x:c>
      <x:c r="L56" s="33" t="str">
        <x:v>Pending live BC UAT</x:v>
      </x:c>
      <x:c r="M56" s="33" t="str"/>
      <x:c r="N56" s="36" t="str"/>
    </x:row>
    <x:row r="57" ht="32.400001525878906" hidden="0" customHeight="1">
      <x:c r="A57" s="33" t="n">
        <x:v>55</x:v>
      </x:c>
      <x:c r="B57" s="30" t="str">
        <x:v>Gate Pass</x:v>
      </x:c>
      <x:c r="C57" s="30" t="str">
        <x:v>Able to request Goods, maintained goods, with Gate Pass</x:v>
      </x:c>
      <x:c r="D57" s="33" t="str">
        <x:v>Mandatory</x:v>
      </x:c>
      <x:c r="E57" s="33" t="str">
        <x:v>Implemented</x:v>
      </x:c>
      <x:c r="F57" s="33" t="str">
        <x:v>fail</x:v>
      </x:c>
      <x:c r="G57" s="30" t="str">
        <x:v>HB Remarks: fail
Remark: The gate pass not generate the transferd /Store issued/maintained with specific refernce need to integrate</x:v>
      </x:c>
      <x:c r="H57" s="33" t="str">
        <x:v>In Scope</x:v>
      </x:c>
      <x:c r="I57" s="33" t="str">
        <x:v>Code fix implemented</x:v>
      </x:c>
      <x:c r="J57" s="30" t="str">
        <x:v>Gate Pass supports Store Issue, Transfer Order, Asset Transfer, and Maintenance source references, including maintained assets.</x:v>
      </x:c>
      <x:c r="K57" s="30" t="str">
        <x:v>Backend type-check passed; on-prem portal build passed; 75 automated backend tests passed.</x:v>
      </x:c>
      <x:c r="L57" s="33" t="str">
        <x:v>Pending live BC UAT</x:v>
      </x:c>
      <x:c r="M57" s="33" t="str"/>
      <x:c r="N57" s="36" t="str"/>
    </x:row>
    <x:row r="58" ht="32.400001525878906" hidden="0" customHeight="1">
      <x:c r="A58" s="33" t="n">
        <x:v>56</x:v>
      </x:c>
      <x:c r="B58" s="30" t="str">
        <x:v>Gate Pass</x:v>
      </x:c>
      <x:c r="C58" s="30" t="str">
        <x:v>Able to approve gate pass</x:v>
      </x:c>
      <x:c r="D58" s="33" t="str">
        <x:v>Mandatory</x:v>
      </x:c>
      <x:c r="E58" s="33" t="str">
        <x:v>Implemented</x:v>
      </x:c>
      <x:c r="F58" s="33" t="str">
        <x:v>fail</x:v>
      </x:c>
      <x:c r="G58" s="30" t="str">
        <x:v>HB Remarks: fail
Remark: The gate pass not generate the transferd /Store issued/maintained with specific refernce need to integrate</x:v>
      </x:c>
      <x:c r="H58" s="33" t="str">
        <x:v>In Scope</x:v>
      </x:c>
      <x:c r="I58" s="33" t="str">
        <x:v>Code fix implemented</x:v>
      </x:c>
      <x:c r="J58" s="30" t="str">
        <x:v>Gate Pass approval retains the source document linkage.</x:v>
      </x:c>
      <x:c r="K58" s="30" t="str">
        <x:v>Backend type-check passed; on-prem portal build passed; 75 automated backend tests passed.</x:v>
      </x:c>
      <x:c r="L58" s="33" t="str">
        <x:v>Pending live BC UAT</x:v>
      </x:c>
      <x:c r="M58" s="33" t="str"/>
      <x:c r="N58" s="36" t="str"/>
    </x:row>
    <x:row r="59" ht="32.400001525878906" hidden="0" customHeight="1">
      <x:c r="A59" s="33" t="n">
        <x:v>57</x:v>
      </x:c>
      <x:c r="B59" s="30" t="str">
        <x:v>Gate Pass</x:v>
      </x:c>
      <x:c r="C59" s="30" t="str">
        <x:v>Able to reject gate pass</x:v>
      </x:c>
      <x:c r="D59" s="33" t="str">
        <x:v>Mandatory</x:v>
      </x:c>
      <x:c r="E59" s="33" t="str">
        <x:v>Implemented</x:v>
      </x:c>
      <x:c r="F59" s="33" t="str">
        <x:v>fail</x:v>
      </x:c>
      <x:c r="G59" s="30" t="str">
        <x:v>HB Remarks: fail
Remark: The gate pass not generate the transferd /Store issued/maintained with specific refernce need to integrate</x:v>
      </x:c>
      <x:c r="H59" s="33" t="str">
        <x:v>In Scope</x:v>
      </x:c>
      <x:c r="I59" s="33" t="str">
        <x:v>Code fix implemented</x:v>
      </x:c>
      <x:c r="J59" s="30" t="str">
        <x:v>Gate Pass rejection retains the source document linkage.</x:v>
      </x:c>
      <x:c r="K59" s="30" t="str">
        <x:v>Backend type-check passed; on-prem portal build passed; 75 automated backend tests passed.</x:v>
      </x:c>
      <x:c r="L59" s="33" t="str">
        <x:v>Pending live BC UAT</x:v>
      </x:c>
      <x:c r="M59" s="33" t="str"/>
      <x:c r="N59" s="36" t="str"/>
    </x:row>
    <x:row r="60" ht="32.400001525878906" hidden="0" customHeight="1">
      <x:c r="A60" s="33" t="n">
        <x:v>58</x:v>
      </x:c>
      <x:c r="B60" s="30" t="str">
        <x:v>Gate Pass</x:v>
      </x:c>
      <x:c r="C60" s="30" t="str">
        <x:v>Able Generate Gate Pass Log Report</x:v>
      </x:c>
      <x:c r="D60" s="33" t="str">
        <x:v>Mandatory</x:v>
      </x:c>
      <x:c r="E60" s="33" t="str">
        <x:v>Not in SSP, It should generate from ERP</x:v>
      </x:c>
      <x:c r="F60" s="33" t="str">
        <x:v>fail</x:v>
      </x:c>
      <x:c r="G60" s="30" t="str">
        <x:v>HB Remarks: fail
Remark: The gate pass not generate the transferd /Store issued/maintained with specific refernce need to integrate</x:v>
      </x:c>
      <x:c r="H60" s="33" t="str">
        <x:v>In Scope</x:v>
      </x:c>
      <x:c r="I60" s="33" t="str">
        <x:v>Code fix implemented</x:v>
      </x:c>
      <x:c r="J60" s="30" t="str">
        <x:v>Portal Gate Pass log/detail is available; the formal printable report remains an ERP output.</x:v>
      </x:c>
      <x:c r="K60" s="30" t="str">
        <x:v>Backend type-check passed; on-prem portal build passed; 75 automated backend tests passed.</x:v>
      </x:c>
      <x:c r="L60" s="33" t="str">
        <x:v>Pending live BC UAT</x:v>
      </x:c>
      <x:c r="M60" s="33" t="str"/>
      <x:c r="N60" s="36" t="str"/>
    </x:row>
    <x:row r="61" ht="32.400001525878906" hidden="0" customHeight="1">
      <x:c r="A61" s="33" t="n">
        <x:v>59</x:v>
      </x:c>
      <x:c r="B61" s="30" t="str">
        <x:v>Procurment Individual Budget Prepartion</x:v>
      </x:c>
      <x:c r="C61" s="30" t="str">
        <x:v>Able Department or district enters to budget template</x:v>
      </x:c>
      <x:c r="D61" s="33" t="str">
        <x:v>Can be pend</x:v>
      </x:c>
      <x:c r="E61" s="33" t="str">
        <x:v>Out Of Scope</x:v>
      </x:c>
      <x:c r="F61" s="33" t="str">
        <x:v>fail</x:v>
      </x:c>
      <x:c r="G61" s="30" t="str">
        <x:v>HB Remarks: fail
Remark: the template not there at SSP</x:v>
      </x:c>
      <x:c r="H61" s="33" t="str">
        <x:v>Out of Scope</x:v>
      </x:c>
      <x:c r="I61" s="33" t="str">
        <x:v>Out of Scope — confirmed</x:v>
      </x:c>
      <x:c r="J61" s="30" t="str">
        <x:v>Excluded from the required pass count by the workbook scope and the user instruction. No UAT Pass is claimed for this row; any retained portal capability is supplementary.</x:v>
      </x:c>
      <x:c r="K61" s="30" t="str">
        <x:v>Scope confirmed from the workbook and user instruction.</x:v>
      </x:c>
      <x:c r="L61" s="33" t="str">
        <x:v>Not Required</x:v>
      </x:c>
      <x:c r="M61" s="33" t="str"/>
      <x:c r="N61" s="36" t="str"/>
    </x:row>
    <x:row r="62" ht="32.400001525878906" hidden="0" customHeight="1">
      <x:c r="A62" s="33" t="n">
        <x:v>60</x:v>
      </x:c>
      <x:c r="B62" s="30" t="str">
        <x:v>Procurment Individual Budget Prepartion</x:v>
      </x:c>
      <x:c r="C62" s="30" t="str">
        <x:v>Able to itemized procurement budget plan</x:v>
      </x:c>
      <x:c r="D62" s="33" t="str">
        <x:v>Can be pend</x:v>
      </x:c>
      <x:c r="E62" s="33" t="str">
        <x:v>Out Of Scope</x:v>
      </x:c>
      <x:c r="F62" s="33" t="str">
        <x:v>fail</x:v>
      </x:c>
      <x:c r="G62" s="30" t="str">
        <x:v>HB Remarks: fail
Remark: the template not there at SSP</x:v>
      </x:c>
      <x:c r="H62" s="33" t="str">
        <x:v>Out of Scope</x:v>
      </x:c>
      <x:c r="I62" s="33" t="str">
        <x:v>Out of Scope — confirmed</x:v>
      </x:c>
      <x:c r="J62" s="30" t="str">
        <x:v>Excluded from the required pass count by the workbook scope and the user instruction. No UAT Pass is claimed for this row; any retained portal capability is supplementary.</x:v>
      </x:c>
      <x:c r="K62" s="30" t="str">
        <x:v>Scope confirmed from the workbook and user instruction.</x:v>
      </x:c>
      <x:c r="L62" s="33" t="str">
        <x:v>Not Required</x:v>
      </x:c>
      <x:c r="M62" s="33" t="str"/>
      <x:c r="N62" s="36" t="str"/>
    </x:row>
    <x:row r="63" ht="32.400001525878906" hidden="0" customHeight="1">
      <x:c r="A63" s="34" t="n">
        <x:v>61</x:v>
      </x:c>
      <x:c r="B63" s="31" t="str">
        <x:v>Procurment Individual Budget Prepartion</x:v>
      </x:c>
      <x:c r="C63" s="31" t="str">
        <x:v>Able to submits itemized procurement budget plan</x:v>
      </x:c>
      <x:c r="D63" s="34" t="str">
        <x:v>Can be pend</x:v>
      </x:c>
      <x:c r="E63" s="34" t="str">
        <x:v>Out Of Scope</x:v>
      </x:c>
      <x:c r="F63" s="34" t="str">
        <x:v>fail</x:v>
      </x:c>
      <x:c r="G63" s="31" t="str">
        <x:v>HB Remarks: fail
Remark: the template not there at SSP</x:v>
      </x:c>
      <x:c r="H63" s="34" t="str">
        <x:v>Out of Scope</x:v>
      </x:c>
      <x:c r="I63" s="34" t="str">
        <x:v>Out of Scope — confirmed</x:v>
      </x:c>
      <x:c r="J63" s="31" t="str">
        <x:v>Excluded from the required pass count by the workbook scope and the user instruction. No UAT Pass is claimed for this row; any retained portal capability is supplementary.</x:v>
      </x:c>
      <x:c r="K63" s="31" t="str">
        <x:v>Scope confirmed from the workbook and user instruction.</x:v>
      </x:c>
      <x:c r="L63" s="34" t="str">
        <x:v>Not Required</x:v>
      </x:c>
      <x:c r="M63" s="34" t="str"/>
      <x:c r="N63" s="37" t="str"/>
    </x:row>
  </x:sheetData>
  <x:mergeCells>
    <x:mergeCell ref="A1:N1"/>
    <x:mergeCell ref="A2:N2"/>
    <x:mergeCell ref="A3:N3"/>
  </x:mergeCells>
  <x:conditionalFormatting sqref="I5:I63">
    <x:cfRule type="containsText" dxfId="10" priority="1" operator="containsText" text="fix implemented"/>
    <x:cfRule type="containsText" dxfId="11" priority="2" operator="containsText" text="Out of Scope"/>
  </x:conditionalFormatting>
  <x:conditionalFormatting sqref="L5:L63">
    <x:cfRule type="containsText" dxfId="12" priority="3" operator="containsText" text="Pending"/>
    <x:cfRule type="containsText" dxfId="13" priority="4" operator="containsText" text="Pass"/>
    <x:cfRule type="containsText" dxfId="14" priority="5" operator="containsText" text="Fail"/>
  </x:conditionalFormatting>
  <x:dataValidations count="1">
    <x:dataValidation type="list" sqref="L5:L63">
      <x:formula1>"Pending live BC UAT,Pass,Fail,Blocked,Not Required,Bank source says Pass"</x:formula1>
    </x:dataValidation>
  </x:dataValidations>
  <x:pageMargins left="0.7" right="0.7" top="0.75" bottom="0.75" header="0.3" footer="0.3"/>
  <x:tableParts count="1">
    <x:tablePart xmlns:r="http://schemas.openxmlformats.org/officeDocument/2006/relationships" r:id="R456c8bd663ca490f"/>
  </x:tableParts>
</x:worksheet>
</file>